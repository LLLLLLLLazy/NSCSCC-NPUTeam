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ong\Desktop\1\"/>
    </mc:Choice>
  </mc:AlternateContent>
  <xr:revisionPtr revIDLastSave="0" documentId="13_ncr:1_{97815448-322A-468C-82D6-37D2A99C91F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myCPU计算" sheetId="1" r:id="rId1"/>
    <sheet name="openla500运行结果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2" l="1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K16" i="1"/>
  <c r="K14" i="1"/>
  <c r="K17" i="1" l="1"/>
</calcChain>
</file>

<file path=xl/sharedStrings.xml><?xml version="1.0" encoding="utf-8"?>
<sst xmlns="http://schemas.openxmlformats.org/spreadsheetml/2006/main" count="202" uniqueCount="152">
  <si>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</si>
  <si>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</si>
  <si>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</si>
  <si>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</si>
  <si>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</si>
  <si>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</si>
  <si>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</si>
  <si>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</si>
  <si>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</si>
  <si>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</si>
  <si>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</si>
  <si>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</si>
  <si>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</si>
  <si>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</si>
  <si>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系统计数器比值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</si>
  <si>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</si>
  <si>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</si>
  <si>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</si>
  <si>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</si>
  <si>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</rPr>
      <t>/IPC</t>
    </r>
    <r>
      <rPr>
        <vertAlign val="subscript"/>
        <sz val="11"/>
        <color rgb="FF000000"/>
        <rFont val="宋体"/>
        <charset val="134"/>
      </rPr>
      <t>mycpu</t>
    </r>
  </si>
  <si>
    <t>IPC比值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</si>
  <si>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rgb="FF000000"/>
        <rFont val="Times New Roman"/>
        <family val="1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family val="1"/>
        <charset val="1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</si>
  <si>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</si>
  <si>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rgb="FF000000"/>
        <rFont val="Times New Roman"/>
        <family val="1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family val="1"/>
        <charset val="1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</si>
  <si>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</si>
  <si>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</si>
  <si>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</si>
  <si>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</si>
  <si>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xxMHz : 100MHz</t>
  </si>
  <si>
    <t>-</t>
  </si>
  <si>
    <t>33MHz : 100MHz</t>
  </si>
  <si>
    <t>bitcount</t>
  </si>
  <si>
    <t>00053E58</t>
  </si>
  <si>
    <t>bubble_sort</t>
  </si>
  <si>
    <t>00186716</t>
  </si>
  <si>
    <t>coremark</t>
  </si>
  <si>
    <t>003F07E2</t>
  </si>
  <si>
    <t>crc32</t>
  </si>
  <si>
    <t>00276AFD</t>
  </si>
  <si>
    <t>dhrystone</t>
  </si>
  <si>
    <t>0000B609</t>
  </si>
  <si>
    <t>quick_sort</t>
  </si>
  <si>
    <t>001E0D7E</t>
  </si>
  <si>
    <t>select_sort</t>
  </si>
  <si>
    <t>000FE26E</t>
  </si>
  <si>
    <t>sha</t>
  </si>
  <si>
    <t>00216C8B</t>
  </si>
  <si>
    <t>stream_copy</t>
  </si>
  <si>
    <t>0001FE57</t>
  </si>
  <si>
    <t>stringsearch</t>
  </si>
  <si>
    <t>0008E08B</t>
  </si>
  <si>
    <t>fireye_A0</t>
  </si>
  <si>
    <t>0040B56D</t>
  </si>
  <si>
    <t>fireye_B2</t>
  </si>
  <si>
    <t>00085296</t>
  </si>
  <si>
    <t>fireye_C0</t>
  </si>
  <si>
    <t>000A52A8</t>
  </si>
  <si>
    <t>fireye_D1</t>
  </si>
  <si>
    <t>005C244D</t>
  </si>
  <si>
    <t>fireye_I2</t>
  </si>
  <si>
    <t>003B9BE3</t>
  </si>
  <si>
    <t>inner_product</t>
  </si>
  <si>
    <t>00F7B121</t>
  </si>
  <si>
    <t>lookup_table</t>
  </si>
  <si>
    <t>002D22C7</t>
  </si>
  <si>
    <t>loop_induction</t>
  </si>
  <si>
    <t>00A923D4</t>
  </si>
  <si>
    <t>my_memcmp</t>
  </si>
  <si>
    <t>0033CE59</t>
  </si>
  <si>
    <t>minmax_sequence</t>
  </si>
  <si>
    <t>003C29AA</t>
  </si>
  <si>
    <t>三、系统测试分数计算</t>
  </si>
  <si>
    <t>完成系统测试点</t>
  </si>
  <si>
    <r>
      <rPr>
        <b/>
        <sz val="9"/>
        <color theme="1"/>
        <rFont val="宋体"/>
        <charset val="134"/>
      </rPr>
      <t>完成状态序号（只选完成的最大序号，</t>
    </r>
    <r>
      <rPr>
        <b/>
        <sz val="9"/>
        <color rgb="FFFF0000"/>
        <rFont val="宋体"/>
        <charset val="134"/>
      </rPr>
      <t>左侧红色标识</t>
    </r>
    <r>
      <rPr>
        <b/>
        <sz val="9"/>
        <color theme="1"/>
        <rFont val="宋体"/>
        <charset val="134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</si>
  <si>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</si>
  <si>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</si>
  <si>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</si>
  <si>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</si>
  <si>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</si>
  <si>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</rPr>
      <t>注1：根据myCPU运行时间填写黄色区域，</t>
    </r>
    <r>
      <rPr>
        <b/>
        <sz val="11"/>
        <color rgb="FFFF0000"/>
        <rFont val="宋体"/>
        <charset val="134"/>
      </rPr>
      <t>不要更改单元格格式，</t>
    </r>
    <r>
      <rPr>
        <sz val="11"/>
        <color rgb="FF000000"/>
        <rFont val="宋体"/>
        <charset val="134"/>
      </rPr>
      <t>填写格式为16进制数，分别填写：上板cpu_clk与sys_clk的频率，上板计时；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</si>
  <si>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</si>
  <si>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</si>
  <si>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</si>
  <si>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</si>
  <si>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</si>
  <si>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CPU count : SoC count
（≈cpu_clk : sys_clk）</t>
  </si>
  <si>
    <t>数码管显示(CPU count)</t>
  </si>
  <si>
    <t>数码管显示(SoC count)</t>
  </si>
  <si>
    <t>00100AA1</t>
  </si>
  <si>
    <t>004A96FE</t>
  </si>
  <si>
    <t>00C0A5E2</t>
  </si>
  <si>
    <t>0078C6DD</t>
  </si>
  <si>
    <t>0002349F</t>
  </si>
  <si>
    <t>005BE036</t>
  </si>
  <si>
    <t>00308F13</t>
  </si>
  <si>
    <t>00668BDB</t>
  </si>
  <si>
    <t>00062003</t>
  </si>
  <si>
    <t>001B730D</t>
  </si>
  <si>
    <t>00C5C10A</t>
  </si>
  <si>
    <t>0019741B</t>
  </si>
  <si>
    <t>001F922C</t>
  </si>
  <si>
    <t>0119945D</t>
  </si>
  <si>
    <t>00B62C7E</t>
  </si>
  <si>
    <t>02F4E009</t>
  </si>
  <si>
    <t>0089F828</t>
  </si>
  <si>
    <t>0204DC71</t>
  </si>
  <si>
    <t>009E5407</t>
  </si>
  <si>
    <t>00B7DF68</t>
  </si>
  <si>
    <t>西北工业大学一队</t>
    <phoneticPr fontId="14" type="noConversion"/>
  </si>
  <si>
    <t>西北工业大学</t>
    <phoneticPr fontId="14" type="noConversion"/>
  </si>
  <si>
    <t>7415d</t>
    <phoneticPr fontId="14" type="noConversion"/>
  </si>
  <si>
    <t>23acc2</t>
    <phoneticPr fontId="14" type="noConversion"/>
  </si>
  <si>
    <t>44e3bb</t>
    <phoneticPr fontId="14" type="noConversion"/>
  </si>
  <si>
    <t>2edd1e</t>
    <phoneticPr fontId="14" type="noConversion"/>
  </si>
  <si>
    <t>e6ee</t>
    <phoneticPr fontId="14" type="noConversion"/>
  </si>
  <si>
    <t>298147</t>
    <phoneticPr fontId="14" type="noConversion"/>
  </si>
  <si>
    <t>e676a</t>
    <phoneticPr fontId="14" type="noConversion"/>
  </si>
  <si>
    <t>26a739</t>
    <phoneticPr fontId="14" type="noConversion"/>
  </si>
  <si>
    <t>2b625</t>
    <phoneticPr fontId="14" type="noConversion"/>
  </si>
  <si>
    <t>aae55</t>
    <phoneticPr fontId="14" type="noConversion"/>
  </si>
  <si>
    <t>ccee5</t>
    <phoneticPr fontId="14" type="noConversion"/>
  </si>
  <si>
    <t>9a043</t>
    <phoneticPr fontId="14" type="noConversion"/>
  </si>
  <si>
    <t>10bda3</t>
    <phoneticPr fontId="14" type="noConversion"/>
  </si>
  <si>
    <t>39c6ea</t>
    <phoneticPr fontId="14" type="noConversion"/>
  </si>
  <si>
    <t>4d1e82</t>
    <phoneticPr fontId="14" type="noConversion"/>
  </si>
  <si>
    <t>650bf8</t>
    <phoneticPr fontId="14" type="noConversion"/>
  </si>
  <si>
    <t>20df4e</t>
    <phoneticPr fontId="14" type="noConversion"/>
  </si>
  <si>
    <t>6fe9d5</t>
    <phoneticPr fontId="14" type="noConversion"/>
  </si>
  <si>
    <t>1b4416</t>
    <phoneticPr fontId="14" type="noConversion"/>
  </si>
  <si>
    <t>380b17</t>
    <phoneticPr fontId="14" type="noConversion"/>
  </si>
  <si>
    <t>7b737</t>
    <phoneticPr fontId="14" type="noConversion"/>
  </si>
  <si>
    <t>25e8dc</t>
    <phoneticPr fontId="14" type="noConversion"/>
  </si>
  <si>
    <t>493566</t>
    <phoneticPr fontId="14" type="noConversion"/>
  </si>
  <si>
    <t>31d2a3</t>
    <phoneticPr fontId="14" type="noConversion"/>
  </si>
  <si>
    <t>f96d</t>
    <phoneticPr fontId="14" type="noConversion"/>
  </si>
  <si>
    <t>2c19ac</t>
    <phoneticPr fontId="14" type="noConversion"/>
  </si>
  <si>
    <t>f4f76</t>
    <phoneticPr fontId="14" type="noConversion"/>
  </si>
  <si>
    <t>291990</t>
    <phoneticPr fontId="14" type="noConversion"/>
  </si>
  <si>
    <t>2e2e5</t>
    <phoneticPr fontId="14" type="noConversion"/>
  </si>
  <si>
    <t>b62c0</t>
    <phoneticPr fontId="14" type="noConversion"/>
  </si>
  <si>
    <t>da116</t>
    <phoneticPr fontId="14" type="noConversion"/>
  </si>
  <si>
    <t>a3b85</t>
    <phoneticPr fontId="14" type="noConversion"/>
  </si>
  <si>
    <t>11ca95</t>
    <phoneticPr fontId="14" type="noConversion"/>
  </si>
  <si>
    <t>3d64ed</t>
    <phoneticPr fontId="14" type="noConversion"/>
  </si>
  <si>
    <t>51f208</t>
    <phoneticPr fontId="14" type="noConversion"/>
  </si>
  <si>
    <t>6b5ee6</t>
    <phoneticPr fontId="14" type="noConversion"/>
  </si>
  <si>
    <t>22ef50</t>
    <phoneticPr fontId="14" type="noConversion"/>
  </si>
  <si>
    <t>76ea64</t>
    <phoneticPr fontId="14" type="noConversion"/>
  </si>
  <si>
    <t>1cf9b7</t>
    <phoneticPr fontId="14" type="noConversion"/>
  </si>
  <si>
    <t>3b8d3d</t>
    <phoneticPr fontId="14" type="noConversion"/>
  </si>
  <si>
    <t>王党辉、王继禾</t>
    <phoneticPr fontId="14" type="noConversion"/>
  </si>
  <si>
    <t>杜仕铭、刘奕凡、祝建祥、赵森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</si>
</sst>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_ "/>
  </numFmts>
  <fonts count="16" x14ac:knownFonts="1"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4"/>
      <name val="仿宋"/>
      <charset val="134"/>
    </font>
    <font>
      <b/>
      <sz val="14"/>
      <color theme="1"/>
      <name val="宋体"/>
      <charset val="134"/>
    </font>
    <font>
      <sz val="10"/>
      <name val="Times New Roman"/>
      <family val="1"/>
      <charset val="1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b/>
      <sz val="9"/>
      <color rgb="FFFF0000"/>
      <name val="宋体"/>
      <charset val="134"/>
    </font>
    <font>
      <sz val="9"/>
      <name val="宋体"/>
      <family val="3"/>
      <charset val="134"/>
    </font>
    <font>
      <sz val="14"/>
      <name val="仿宋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FCD5B5"/>
      </patternFill>
    </fill>
    <fill>
      <patternFill patternType="solid">
        <fgColor rgb="FFFFFF66"/>
        <bgColor rgb="FFFFFF00"/>
      </patternFill>
    </fill>
    <fill>
      <patternFill patternType="solid">
        <fgColor rgb="FFFF505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2" borderId="0" xfId="0" applyFont="1" applyFill="1">
      <alignment vertical="center"/>
    </xf>
    <xf numFmtId="176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0" fillId="2" borderId="0" xfId="0" applyFill="1" applyProtection="1">
      <alignment vertical="center"/>
      <protection locked="0"/>
    </xf>
    <xf numFmtId="0" fontId="0" fillId="6" borderId="4" xfId="0" applyFill="1" applyBorder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49" fontId="0" fillId="0" borderId="0" xfId="0" applyNumberForma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5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5"/>
  <sheetViews>
    <sheetView tabSelected="1" zoomScale="85" zoomScaleNormal="85" workbookViewId="0">
      <selection activeCell="F6" sqref="F6"/>
    </sheetView>
  </sheetViews>
  <sheetFormatPr defaultColWidth="9" defaultRowHeight="13.5" x14ac:dyDescent="0.3"/>
  <cols>
    <col min="1" max="1" width="5.1328125" style="4" customWidth="1"/>
    <col min="2" max="2" width="14.265625" style="4" customWidth="1"/>
    <col min="3" max="3" width="18.73046875" style="4" customWidth="1"/>
    <col min="4" max="4" width="35.59765625" style="4" customWidth="1"/>
    <col min="5" max="5" width="27" style="4" customWidth="1"/>
    <col min="6" max="6" width="17.73046875" style="4" customWidth="1"/>
    <col min="7" max="7" width="17.53125" style="4" customWidth="1"/>
    <col min="8" max="8" width="18.33203125" style="4" customWidth="1"/>
    <col min="9" max="9" width="3.1328125" style="4" customWidth="1"/>
    <col min="10" max="10" width="20.53125" style="4" customWidth="1"/>
    <col min="11" max="11" width="16.59765625" style="4" customWidth="1"/>
    <col min="12" max="16384" width="9" style="4"/>
  </cols>
  <sheetData>
    <row r="2" spans="1:14" customFormat="1" ht="21.75" customHeight="1" x14ac:dyDescent="0.3">
      <c r="A2" s="4"/>
      <c r="B2" s="3" t="s">
        <v>0</v>
      </c>
      <c r="C2" s="30" t="s">
        <v>108</v>
      </c>
      <c r="D2" s="31"/>
      <c r="E2" s="3" t="s">
        <v>1</v>
      </c>
      <c r="F2" s="32" t="s">
        <v>109</v>
      </c>
      <c r="G2" s="33"/>
    </row>
    <row r="3" spans="1:14" customFormat="1" ht="21.75" customHeight="1" x14ac:dyDescent="0.3">
      <c r="A3" s="4"/>
      <c r="B3" s="3" t="s">
        <v>2</v>
      </c>
      <c r="C3" s="30" t="s">
        <v>151</v>
      </c>
      <c r="D3" s="31"/>
      <c r="E3" s="3" t="s">
        <v>3</v>
      </c>
      <c r="F3" s="30" t="s">
        <v>150</v>
      </c>
      <c r="G3" s="31"/>
    </row>
    <row r="4" spans="1:14" customFormat="1" ht="21.75" customHeight="1" x14ac:dyDescent="0.3">
      <c r="A4" s="4"/>
      <c r="B4" s="5"/>
      <c r="C4" s="6"/>
      <c r="D4" s="6"/>
      <c r="E4" s="6"/>
      <c r="F4" s="6"/>
      <c r="G4" s="5"/>
      <c r="H4" s="6"/>
      <c r="I4" s="6"/>
    </row>
    <row r="5" spans="1:14" s="7" customFormat="1" ht="21.75" customHeight="1" x14ac:dyDescent="0.3">
      <c r="A5" s="7" t="s">
        <v>4</v>
      </c>
    </row>
    <row r="7" spans="1:14" ht="36" customHeight="1" x14ac:dyDescent="0.3">
      <c r="B7" s="3" t="s">
        <v>5</v>
      </c>
      <c r="C7" s="3" t="s">
        <v>6</v>
      </c>
    </row>
    <row r="8" spans="1:14" ht="21.75" customHeight="1" x14ac:dyDescent="0.3">
      <c r="B8" s="3" t="s">
        <v>7</v>
      </c>
      <c r="C8" s="8">
        <v>58</v>
      </c>
    </row>
    <row r="10" spans="1:14" ht="21.75" customHeight="1" x14ac:dyDescent="0.3">
      <c r="A10" s="4" t="s">
        <v>8</v>
      </c>
    </row>
    <row r="11" spans="1:14" ht="21.75" customHeight="1" x14ac:dyDescent="0.3">
      <c r="A11" s="4" t="s">
        <v>9</v>
      </c>
    </row>
    <row r="12" spans="1:14" ht="21.75" customHeight="1" x14ac:dyDescent="0.3">
      <c r="A12" s="4" t="s">
        <v>10</v>
      </c>
      <c r="B12" s="9"/>
      <c r="C12" s="9"/>
      <c r="D12" s="9"/>
      <c r="E12" s="9"/>
      <c r="F12" s="9"/>
      <c r="G12" s="9"/>
      <c r="H12" s="9"/>
    </row>
    <row r="13" spans="1:14" ht="21.75" customHeight="1" x14ac:dyDescent="0.3">
      <c r="A13" s="4" t="s">
        <v>11</v>
      </c>
      <c r="B13" s="9"/>
      <c r="C13" s="9"/>
      <c r="D13" s="9"/>
      <c r="E13" s="9"/>
      <c r="F13" s="9"/>
      <c r="G13" s="9"/>
      <c r="H13" s="9"/>
    </row>
    <row r="14" spans="1:14" ht="21.75" customHeight="1" x14ac:dyDescent="0.3">
      <c r="J14" s="10" t="s">
        <v>12</v>
      </c>
      <c r="K14" s="11">
        <f>C8/58*100</f>
        <v>100</v>
      </c>
    </row>
    <row r="15" spans="1:14" s="7" customFormat="1" ht="21.75" customHeight="1" x14ac:dyDescent="0.3">
      <c r="A15" s="7" t="s">
        <v>13</v>
      </c>
    </row>
    <row r="16" spans="1:14" ht="21.75" customHeight="1" x14ac:dyDescent="0.3">
      <c r="B16" s="34"/>
      <c r="C16" s="34"/>
      <c r="D16" s="34"/>
      <c r="E16" s="34"/>
      <c r="F16" s="34"/>
      <c r="G16" s="34"/>
      <c r="H16" s="34"/>
      <c r="J16" s="10" t="s">
        <v>14</v>
      </c>
      <c r="K16" s="11">
        <f>GEOMEAN(IF(HEX2DEC(D21),IFERROR(HEX2DEC(openla500运行结果!D4)/HEX2DEC(E21),0.0001),0.0001),IF(HEX2DEC(D22),IFERROR(HEX2DEC(openla500运行结果!D5)/HEX2DEC(E22),0.0001),0.0001),IF(HEX2DEC(D23),IFERROR(HEX2DEC(openla500运行结果!D6)/HEX2DEC(E23),0.0001),0.0001),IF(HEX2DEC(D24),IFERROR(HEX2DEC(openla500运行结果!D7)/HEX2DEC(E24),0.0001),0.0001),IF(HEX2DEC(D25),IFERROR(HEX2DEC(openla500运行结果!D8)/HEX2DEC(E25),0.0001),0.0001),IF(HEX2DEC(D26),IFERROR(HEX2DEC(openla500运行结果!D9)/HEX2DEC(E26),0.0001),0.0001),IF(HEX2DEC(D27),IFERROR(HEX2DEC(openla500运行结果!D10)/HEX2DEC(E27),0.0001),0.0001),IF(HEX2DEC(D28),IFERROR(HEX2DEC(openla500运行结果!D11)/HEX2DEC(E28),0.0001),0.0001),IF(HEX2DEC(D29),IFERROR(HEX2DEC(openla500运行结果!D12)/HEX2DEC(E29),0.0001),0.0001),IF(HEX2DEC(D30),IFERROR(HEX2DEC(openla500运行结果!D13)/HEX2DEC(E30),0.0001),0.0001),IF(HEX2DEC(D31),IFERROR(HEX2DEC(openla500运行结果!D14)/HEX2DEC(E31),0.0001),0.0001),IF(HEX2DEC(D32),IFERROR(HEX2DEC(openla500运行结果!D15)/HEX2DEC(E32),0.0001),0.0001),IF(HEX2DEC(D33),IFERROR(HEX2DEC(openla500运行结果!D16)/HEX2DEC(E33),0.0001),0.0001),IF(HEX2DEC(D34),IFERROR(HEX2DEC(openla500运行结果!D17)/HEX2DEC(E34),0.0001),0.0001),IF(HEX2DEC(D35),IFERROR(HEX2DEC(openla500运行结果!D18)/HEX2DEC(E35),0.0001),0.0001),IF(HEX2DEC(D36),IFERROR(HEX2DEC(openla500运行结果!D19)/HEX2DEC(E36),0.0001),0.0001),IF(HEX2DEC(D37),IFERROR(HEX2DEC(openla500运行结果!D20)/HEX2DEC(E37),0.0001),0.0001),IF(HEX2DEC(D38),IFERROR(HEX2DEC(openla500运行结果!D21)/HEX2DEC(E38),0.0001),0.0001),IF(HEX2DEC(D39),IFERROR(HEX2DEC(openla500运行结果!D22)/HEX2DEC(E39),0.0001),0.0001),IF(HEX2DEC(D40),IFERROR(HEX2DEC(openla500运行结果!D23)/HEX2DEC(E40),0.0001),0.0001))</f>
        <v>3.0982463022214186</v>
      </c>
      <c r="N16" s="12"/>
    </row>
    <row r="17" spans="2:11" ht="30" customHeight="1" x14ac:dyDescent="0.3">
      <c r="B17" s="24" t="s">
        <v>15</v>
      </c>
      <c r="C17" s="24" t="s">
        <v>16</v>
      </c>
      <c r="D17" s="28" t="s">
        <v>17</v>
      </c>
      <c r="E17" s="28"/>
      <c r="F17" s="28"/>
      <c r="G17" s="2" t="s">
        <v>18</v>
      </c>
      <c r="H17" s="29" t="s">
        <v>19</v>
      </c>
      <c r="J17" s="10" t="s">
        <v>20</v>
      </c>
      <c r="K17" s="11">
        <f>GEOMEAN(H21:H40)</f>
        <v>1.0763863820264987</v>
      </c>
    </row>
    <row r="18" spans="2:11" ht="30" customHeight="1" x14ac:dyDescent="0.3">
      <c r="B18" s="24"/>
      <c r="C18" s="24"/>
      <c r="D18" s="24" t="s">
        <v>21</v>
      </c>
      <c r="E18" s="24"/>
      <c r="F18" s="24" t="s">
        <v>22</v>
      </c>
      <c r="G18" s="3" t="s">
        <v>23</v>
      </c>
      <c r="H18" s="29"/>
      <c r="J18" s="10" t="s">
        <v>24</v>
      </c>
      <c r="K18" s="13">
        <v>94</v>
      </c>
    </row>
    <row r="19" spans="2:11" ht="48" customHeight="1" x14ac:dyDescent="0.3">
      <c r="B19" s="24"/>
      <c r="C19" s="24"/>
      <c r="D19" s="14" t="s">
        <v>25</v>
      </c>
      <c r="E19" s="14" t="s">
        <v>26</v>
      </c>
      <c r="F19" s="24"/>
      <c r="G19" s="14" t="s">
        <v>25</v>
      </c>
      <c r="H19" s="29"/>
    </row>
    <row r="20" spans="2:11" ht="30" customHeight="1" x14ac:dyDescent="0.3">
      <c r="B20" s="22" t="s">
        <v>27</v>
      </c>
      <c r="C20" s="22"/>
      <c r="D20" s="23" t="s">
        <v>28</v>
      </c>
      <c r="E20" s="23"/>
      <c r="F20" s="15" t="s">
        <v>29</v>
      </c>
      <c r="G20" s="16" t="s">
        <v>30</v>
      </c>
      <c r="H20" s="17" t="s">
        <v>29</v>
      </c>
    </row>
    <row r="21" spans="2:11" ht="30" customHeight="1" x14ac:dyDescent="0.3">
      <c r="B21" s="1">
        <v>1</v>
      </c>
      <c r="C21" s="1" t="s">
        <v>31</v>
      </c>
      <c r="D21" s="18" t="s">
        <v>110</v>
      </c>
      <c r="E21" s="18" t="s">
        <v>130</v>
      </c>
      <c r="F21" s="15">
        <f t="shared" ref="F21:F40" si="0">IF(HEX2DEC(D21),HEX2DEC(D21)/HEX2DEC(E21),0)</f>
        <v>0.94033481326200674</v>
      </c>
      <c r="G21" s="15" t="s">
        <v>32</v>
      </c>
      <c r="H21" s="19">
        <f t="shared" ref="H21:H40" si="1">IF(HEX2DEC(D21),HEX2DEC(G21)/HEX2DEC(D21),0.0001)</f>
        <v>0.72271470183076225</v>
      </c>
    </row>
    <row r="22" spans="2:11" ht="30" customHeight="1" x14ac:dyDescent="0.3">
      <c r="B22" s="1">
        <v>2</v>
      </c>
      <c r="C22" s="1" t="s">
        <v>33</v>
      </c>
      <c r="D22" s="18" t="s">
        <v>111</v>
      </c>
      <c r="E22" s="18" t="s">
        <v>131</v>
      </c>
      <c r="F22" s="15">
        <f t="shared" si="0"/>
        <v>0.9410499894543809</v>
      </c>
      <c r="G22" s="15" t="s">
        <v>34</v>
      </c>
      <c r="H22" s="19">
        <f t="shared" si="1"/>
        <v>0.68403061438349078</v>
      </c>
    </row>
    <row r="23" spans="2:11" ht="30" customHeight="1" x14ac:dyDescent="0.3">
      <c r="B23" s="1">
        <v>3</v>
      </c>
      <c r="C23" s="1" t="s">
        <v>35</v>
      </c>
      <c r="D23" s="18" t="s">
        <v>112</v>
      </c>
      <c r="E23" s="18" t="s">
        <v>132</v>
      </c>
      <c r="F23" s="15">
        <f t="shared" si="0"/>
        <v>0.94100397724122609</v>
      </c>
      <c r="G23" s="15" t="s">
        <v>36</v>
      </c>
      <c r="H23" s="19">
        <f t="shared" si="1"/>
        <v>0.91495403839905098</v>
      </c>
    </row>
    <row r="24" spans="2:11" ht="30" customHeight="1" x14ac:dyDescent="0.3">
      <c r="B24" s="1">
        <v>4</v>
      </c>
      <c r="C24" s="1" t="s">
        <v>37</v>
      </c>
      <c r="D24" s="18" t="s">
        <v>113</v>
      </c>
      <c r="E24" s="18" t="s">
        <v>133</v>
      </c>
      <c r="F24" s="15">
        <f t="shared" si="0"/>
        <v>0.94060830206661972</v>
      </c>
      <c r="G24" s="15" t="s">
        <v>38</v>
      </c>
      <c r="H24" s="19">
        <f t="shared" si="1"/>
        <v>0.84111775550246115</v>
      </c>
    </row>
    <row r="25" spans="2:11" ht="30" customHeight="1" x14ac:dyDescent="0.3">
      <c r="B25" s="1">
        <v>5</v>
      </c>
      <c r="C25" s="1" t="s">
        <v>39</v>
      </c>
      <c r="D25" s="18" t="s">
        <v>114</v>
      </c>
      <c r="E25" s="18" t="s">
        <v>134</v>
      </c>
      <c r="F25" s="15">
        <f t="shared" si="0"/>
        <v>0.92584530092556339</v>
      </c>
      <c r="G25" s="15" t="s">
        <v>40</v>
      </c>
      <c r="H25" s="19">
        <f t="shared" si="1"/>
        <v>0.78827091579552755</v>
      </c>
    </row>
    <row r="26" spans="2:11" ht="30" customHeight="1" x14ac:dyDescent="0.3">
      <c r="B26" s="1">
        <v>6</v>
      </c>
      <c r="C26" s="1" t="s">
        <v>41</v>
      </c>
      <c r="D26" s="18" t="s">
        <v>115</v>
      </c>
      <c r="E26" s="18" t="s">
        <v>135</v>
      </c>
      <c r="F26" s="15">
        <f t="shared" si="0"/>
        <v>0.94115023548901855</v>
      </c>
      <c r="G26" s="15" t="s">
        <v>42</v>
      </c>
      <c r="H26" s="19">
        <f t="shared" si="1"/>
        <v>0.72407448187933332</v>
      </c>
    </row>
    <row r="27" spans="2:11" ht="30" customHeight="1" x14ac:dyDescent="0.3">
      <c r="B27" s="1">
        <v>7</v>
      </c>
      <c r="C27" s="1" t="s">
        <v>43</v>
      </c>
      <c r="D27" s="18" t="s">
        <v>116</v>
      </c>
      <c r="E27" s="18" t="s">
        <v>136</v>
      </c>
      <c r="F27" s="15">
        <f t="shared" si="0"/>
        <v>0.94079622715974576</v>
      </c>
      <c r="G27" s="15" t="s">
        <v>44</v>
      </c>
      <c r="H27" s="19">
        <f t="shared" si="1"/>
        <v>1.1027862937483712</v>
      </c>
    </row>
    <row r="28" spans="2:11" ht="30" customHeight="1" x14ac:dyDescent="0.3">
      <c r="B28" s="1">
        <v>8</v>
      </c>
      <c r="C28" s="1" t="s">
        <v>45</v>
      </c>
      <c r="D28" s="18" t="s">
        <v>117</v>
      </c>
      <c r="E28" s="18" t="s">
        <v>137</v>
      </c>
      <c r="F28" s="15">
        <f t="shared" si="0"/>
        <v>0.94047083370459472</v>
      </c>
      <c r="G28" s="15" t="s">
        <v>46</v>
      </c>
      <c r="H28" s="19">
        <f t="shared" si="1"/>
        <v>0.86471454620028521</v>
      </c>
    </row>
    <row r="29" spans="2:11" ht="30" customHeight="1" x14ac:dyDescent="0.3">
      <c r="B29" s="1">
        <v>9</v>
      </c>
      <c r="C29" s="1" t="s">
        <v>47</v>
      </c>
      <c r="D29" s="18" t="s">
        <v>118</v>
      </c>
      <c r="E29" s="18" t="s">
        <v>138</v>
      </c>
      <c r="F29" s="15">
        <f t="shared" si="0"/>
        <v>0.9394365527048959</v>
      </c>
      <c r="G29" s="15" t="s">
        <v>48</v>
      </c>
      <c r="H29" s="19">
        <f t="shared" si="1"/>
        <v>0.73520689247668836</v>
      </c>
    </row>
    <row r="30" spans="2:11" ht="30" customHeight="1" x14ac:dyDescent="0.3">
      <c r="B30" s="1">
        <v>10</v>
      </c>
      <c r="C30" s="1" t="s">
        <v>49</v>
      </c>
      <c r="D30" s="18" t="s">
        <v>119</v>
      </c>
      <c r="E30" s="18" t="s">
        <v>139</v>
      </c>
      <c r="F30" s="15">
        <f t="shared" si="0"/>
        <v>0.93810173471138181</v>
      </c>
      <c r="G30" s="15" t="s">
        <v>50</v>
      </c>
      <c r="H30" s="19">
        <f t="shared" si="1"/>
        <v>0.83111448894196904</v>
      </c>
    </row>
    <row r="31" spans="2:11" ht="30" customHeight="1" x14ac:dyDescent="0.3">
      <c r="B31" s="1">
        <v>11</v>
      </c>
      <c r="C31" s="1" t="s">
        <v>51</v>
      </c>
      <c r="D31" s="18" t="s">
        <v>120</v>
      </c>
      <c r="E31" s="18" t="s">
        <v>140</v>
      </c>
      <c r="F31" s="15">
        <f t="shared" si="0"/>
        <v>0.9397574579660235</v>
      </c>
      <c r="G31" s="15" t="s">
        <v>52</v>
      </c>
      <c r="H31" s="19">
        <f t="shared" si="1"/>
        <v>5.052137427224543</v>
      </c>
    </row>
    <row r="32" spans="2:11" ht="30" customHeight="1" x14ac:dyDescent="0.3">
      <c r="B32" s="1">
        <v>12</v>
      </c>
      <c r="C32" s="1" t="s">
        <v>53</v>
      </c>
      <c r="D32" s="18" t="s">
        <v>121</v>
      </c>
      <c r="E32" s="18" t="s">
        <v>141</v>
      </c>
      <c r="F32" s="15">
        <f t="shared" si="0"/>
        <v>0.94073042378656635</v>
      </c>
      <c r="G32" s="15" t="s">
        <v>54</v>
      </c>
      <c r="H32" s="19">
        <f t="shared" si="1"/>
        <v>0.86459401665369473</v>
      </c>
    </row>
    <row r="33" spans="1:8" ht="30" customHeight="1" x14ac:dyDescent="0.3">
      <c r="B33" s="1">
        <v>13</v>
      </c>
      <c r="C33" s="1" t="s">
        <v>55</v>
      </c>
      <c r="D33" s="18" t="s">
        <v>122</v>
      </c>
      <c r="E33" s="18" t="s">
        <v>142</v>
      </c>
      <c r="F33" s="15">
        <f t="shared" si="0"/>
        <v>0.94095060520269336</v>
      </c>
      <c r="G33" s="15" t="s">
        <v>56</v>
      </c>
      <c r="H33" s="19">
        <f t="shared" si="1"/>
        <v>0.61663095204457474</v>
      </c>
    </row>
    <row r="34" spans="1:8" ht="30" customHeight="1" x14ac:dyDescent="0.3">
      <c r="B34" s="1">
        <v>14</v>
      </c>
      <c r="C34" s="1" t="s">
        <v>57</v>
      </c>
      <c r="D34" s="18" t="s">
        <v>123</v>
      </c>
      <c r="E34" s="18" t="s">
        <v>143</v>
      </c>
      <c r="F34" s="15">
        <f t="shared" si="0"/>
        <v>0.94108188002931747</v>
      </c>
      <c r="G34" s="15" t="s">
        <v>58</v>
      </c>
      <c r="H34" s="19">
        <f t="shared" si="1"/>
        <v>1.5947831676646929</v>
      </c>
    </row>
    <row r="35" spans="1:8" ht="30" customHeight="1" x14ac:dyDescent="0.3">
      <c r="B35" s="1">
        <v>15</v>
      </c>
      <c r="C35" s="1" t="s">
        <v>59</v>
      </c>
      <c r="D35" s="18" t="s">
        <v>124</v>
      </c>
      <c r="E35" s="18" t="s">
        <v>144</v>
      </c>
      <c r="F35" s="15">
        <f t="shared" si="0"/>
        <v>0.94110393760138955</v>
      </c>
      <c r="G35" s="15" t="s">
        <v>60</v>
      </c>
      <c r="H35" s="19">
        <f t="shared" si="1"/>
        <v>0.77294571002211676</v>
      </c>
    </row>
    <row r="36" spans="1:8" ht="30" customHeight="1" x14ac:dyDescent="0.3">
      <c r="B36" s="1">
        <v>16</v>
      </c>
      <c r="C36" s="1" t="s">
        <v>61</v>
      </c>
      <c r="D36" s="18" t="s">
        <v>125</v>
      </c>
      <c r="E36" s="18" t="s">
        <v>145</v>
      </c>
      <c r="F36" s="15">
        <f t="shared" si="0"/>
        <v>0.94110176922357613</v>
      </c>
      <c r="G36" s="15" t="s">
        <v>62</v>
      </c>
      <c r="H36" s="19">
        <f t="shared" si="1"/>
        <v>2.4512604572498566</v>
      </c>
    </row>
    <row r="37" spans="1:8" ht="30" customHeight="1" x14ac:dyDescent="0.3">
      <c r="B37" s="1">
        <v>17</v>
      </c>
      <c r="C37" s="1" t="s">
        <v>63</v>
      </c>
      <c r="D37" s="18" t="s">
        <v>126</v>
      </c>
      <c r="E37" s="18" t="s">
        <v>146</v>
      </c>
      <c r="F37" s="15">
        <f t="shared" si="0"/>
        <v>0.94096059905096685</v>
      </c>
      <c r="G37" s="15" t="s">
        <v>64</v>
      </c>
      <c r="H37" s="19">
        <f t="shared" si="1"/>
        <v>1.3730670216746088</v>
      </c>
    </row>
    <row r="38" spans="1:8" ht="30" customHeight="1" x14ac:dyDescent="0.3">
      <c r="B38" s="1">
        <v>18</v>
      </c>
      <c r="C38" s="1" t="s">
        <v>65</v>
      </c>
      <c r="D38" s="18" t="s">
        <v>127</v>
      </c>
      <c r="E38" s="18" t="s">
        <v>147</v>
      </c>
      <c r="F38" s="15">
        <f t="shared" si="0"/>
        <v>0.94111636579954039</v>
      </c>
      <c r="G38" s="15" t="s">
        <v>66</v>
      </c>
      <c r="H38" s="19">
        <f t="shared" si="1"/>
        <v>1.5113466661085628</v>
      </c>
    </row>
    <row r="39" spans="1:8" ht="30" customHeight="1" x14ac:dyDescent="0.3">
      <c r="B39" s="1">
        <v>19</v>
      </c>
      <c r="C39" s="1" t="s">
        <v>67</v>
      </c>
      <c r="D39" s="18" t="s">
        <v>128</v>
      </c>
      <c r="E39" s="18" t="s">
        <v>148</v>
      </c>
      <c r="F39" s="15">
        <f t="shared" si="0"/>
        <v>0.94100219333468493</v>
      </c>
      <c r="G39" s="15" t="s">
        <v>68</v>
      </c>
      <c r="H39" s="19">
        <f t="shared" si="1"/>
        <v>1.9000264144312335</v>
      </c>
    </row>
    <row r="40" spans="1:8" ht="30" customHeight="1" x14ac:dyDescent="0.3">
      <c r="B40" s="1">
        <v>20</v>
      </c>
      <c r="C40" s="1" t="s">
        <v>69</v>
      </c>
      <c r="D40" s="18" t="s">
        <v>129</v>
      </c>
      <c r="E40" s="18" t="s">
        <v>149</v>
      </c>
      <c r="F40" s="15">
        <f t="shared" si="0"/>
        <v>0.9410866251526796</v>
      </c>
      <c r="G40" s="15" t="s">
        <v>70</v>
      </c>
      <c r="H40" s="19">
        <f t="shared" si="1"/>
        <v>1.073504399166316</v>
      </c>
    </row>
    <row r="42" spans="1:8" ht="21.75" customHeight="1" x14ac:dyDescent="0.3">
      <c r="A42" s="7" t="s">
        <v>71</v>
      </c>
    </row>
    <row r="43" spans="1:8" ht="21.75" customHeight="1" x14ac:dyDescent="0.3">
      <c r="A43" s="7"/>
    </row>
    <row r="44" spans="1:8" ht="43.5" customHeight="1" x14ac:dyDescent="0.3">
      <c r="B44" s="24" t="s">
        <v>72</v>
      </c>
      <c r="C44" s="24"/>
      <c r="D44" s="24"/>
      <c r="E44" s="25" t="s">
        <v>73</v>
      </c>
      <c r="F44" s="25"/>
      <c r="G44" s="9"/>
      <c r="H44" s="9"/>
    </row>
    <row r="45" spans="1:8" ht="21.75" customHeight="1" x14ac:dyDescent="0.3">
      <c r="B45" s="26" t="s">
        <v>74</v>
      </c>
      <c r="C45" s="26"/>
      <c r="D45" s="26"/>
      <c r="E45" s="27">
        <v>4</v>
      </c>
      <c r="F45" s="27"/>
      <c r="G45" s="9"/>
      <c r="H45" s="9"/>
    </row>
    <row r="46" spans="1:8" ht="30" customHeight="1" x14ac:dyDescent="0.3">
      <c r="B46" s="26" t="s">
        <v>75</v>
      </c>
      <c r="C46" s="26"/>
      <c r="D46" s="26"/>
      <c r="E46" s="27"/>
      <c r="F46" s="27"/>
      <c r="G46" s="9"/>
      <c r="H46" s="9"/>
    </row>
    <row r="47" spans="1:8" ht="21.75" customHeight="1" x14ac:dyDescent="0.3">
      <c r="B47" s="26" t="s">
        <v>76</v>
      </c>
      <c r="C47" s="26"/>
      <c r="D47" s="26"/>
      <c r="E47" s="27"/>
      <c r="F47" s="27"/>
      <c r="G47" s="9"/>
      <c r="H47" s="9"/>
    </row>
    <row r="48" spans="1:8" ht="21.75" customHeight="1" x14ac:dyDescent="0.3">
      <c r="B48" s="26" t="s">
        <v>77</v>
      </c>
      <c r="C48" s="26"/>
      <c r="D48" s="26"/>
      <c r="E48" s="27"/>
      <c r="F48" s="27"/>
      <c r="G48" s="9"/>
      <c r="H48" s="9"/>
    </row>
    <row r="49" spans="1:8" ht="21.75" customHeight="1" x14ac:dyDescent="0.3">
      <c r="B49" s="26" t="s">
        <v>78</v>
      </c>
      <c r="C49" s="26"/>
      <c r="D49" s="26"/>
      <c r="E49" s="27"/>
      <c r="F49" s="27"/>
      <c r="G49" s="9"/>
      <c r="H49" s="9"/>
    </row>
    <row r="50" spans="1:8" ht="21.75" customHeight="1" x14ac:dyDescent="0.3">
      <c r="A50" s="4" t="s">
        <v>79</v>
      </c>
      <c r="B50" s="9"/>
      <c r="C50" s="9"/>
      <c r="D50" s="9"/>
      <c r="E50" s="9"/>
      <c r="F50" s="9"/>
      <c r="G50" s="9"/>
      <c r="H50" s="9"/>
    </row>
    <row r="51" spans="1:8" ht="21.75" customHeight="1" x14ac:dyDescent="0.3">
      <c r="A51" s="20" t="s">
        <v>80</v>
      </c>
      <c r="B51" s="9"/>
      <c r="C51" s="9"/>
      <c r="D51" s="9"/>
      <c r="E51" s="9"/>
      <c r="F51" s="9"/>
      <c r="G51" s="9"/>
      <c r="H51" s="9"/>
    </row>
    <row r="52" spans="1:8" ht="21.75" customHeight="1" x14ac:dyDescent="0.3">
      <c r="A52" s="20" t="s">
        <v>81</v>
      </c>
      <c r="B52" s="9"/>
      <c r="C52" s="9"/>
      <c r="D52" s="9"/>
      <c r="E52" s="9"/>
      <c r="F52" s="9"/>
      <c r="G52" s="9"/>
      <c r="H52" s="9"/>
    </row>
    <row r="53" spans="1:8" ht="21.75" customHeight="1" x14ac:dyDescent="0.3">
      <c r="A53" s="4" t="s">
        <v>82</v>
      </c>
      <c r="B53" s="9"/>
      <c r="C53" s="9"/>
      <c r="D53" s="9"/>
      <c r="E53" s="9"/>
      <c r="F53" s="9"/>
      <c r="G53" s="9"/>
      <c r="H53" s="9"/>
    </row>
    <row r="54" spans="1:8" ht="21.75" customHeight="1" x14ac:dyDescent="0.3">
      <c r="A54" s="4" t="s">
        <v>83</v>
      </c>
      <c r="B54" s="9"/>
      <c r="C54" s="9"/>
      <c r="D54" s="9"/>
      <c r="E54" s="9"/>
      <c r="F54" s="9"/>
      <c r="G54" s="9"/>
      <c r="H54" s="9"/>
    </row>
    <row r="55" spans="1:8" ht="21.75" customHeight="1" x14ac:dyDescent="0.3">
      <c r="A55" s="4" t="s">
        <v>84</v>
      </c>
      <c r="B55" s="9"/>
      <c r="C55" s="9"/>
      <c r="D55" s="9"/>
      <c r="E55" s="9"/>
      <c r="F55" s="9"/>
      <c r="G55" s="9"/>
      <c r="H55" s="9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允许修改" securityDescriptor="O:WDG:WDD:"/>
  </protectedRanges>
  <mergeCells count="21">
    <mergeCell ref="C2:D2"/>
    <mergeCell ref="F2:G2"/>
    <mergeCell ref="C3:D3"/>
    <mergeCell ref="F3:G3"/>
    <mergeCell ref="B16:H16"/>
    <mergeCell ref="B17:B19"/>
    <mergeCell ref="C17:C19"/>
    <mergeCell ref="D17:F17"/>
    <mergeCell ref="H17:H19"/>
    <mergeCell ref="D18:E18"/>
    <mergeCell ref="F18:F19"/>
    <mergeCell ref="B20:C20"/>
    <mergeCell ref="D20:E20"/>
    <mergeCell ref="B44:D44"/>
    <mergeCell ref="E44:F44"/>
    <mergeCell ref="B45:D45"/>
    <mergeCell ref="E45:F49"/>
    <mergeCell ref="B46:D46"/>
    <mergeCell ref="B47:D47"/>
    <mergeCell ref="B48:D48"/>
    <mergeCell ref="B49:D49"/>
  </mergeCells>
  <phoneticPr fontId="14" type="noConversion"/>
  <dataValidations count="5">
    <dataValidation type="whole" allowBlank="1" showInputMessage="1" showErrorMessage="1" errorTitle="输入无效" error="0~58；_x000a_此项为58，则SRAM接口项一定要是0；_x000a_此项为1~57，则SRAM接口项一定要是58；_x000a_此项为0，则SRAM接口项可填任意。" promptTitle="AXI接口通过数" prompt="0~58；" sqref="C8 C46" xr:uid="{00000000-0002-0000-0000-000000000000}">
      <formula1>0</formula1>
      <formula2>58</formula2>
    </dataValidation>
    <dataValidation type="whole" allowBlank="1" showInputMessage="1" showErrorMessage="1" promptTitle="AXI接口通过数" prompt="0~89" sqref="C9" xr:uid="{00000000-0002-0000-0000-000001000000}">
      <formula1>0</formula1>
      <formula2>89</formula2>
    </dataValidation>
    <dataValidation allowBlank="1" showInputMessage="1" showErrorMessage="1" promptTitle="上板频率" prompt="格式为:XX MHz : 100MHz_x000a_XX MHz为myCPU上板频率，timer_clk必须为100MHz" sqref="D20:F20" xr:uid="{00000000-0002-0000-0000-000002000000}">
      <formula1>0</formula1>
      <formula2>0</formula2>
    </dataValidation>
    <dataValidation allowBlank="1" showInputMessage="1" showErrorMessage="1" promptTitle="输入计时结果" prompt="要求为16进制数。_x000a_如结果为0x144FF46，则填写144FF46。_x000a_如果某一性能测试未通过，则填写0" sqref="D21:E40" xr:uid="{00000000-0002-0000-0000-000003000000}">
      <formula1>0</formula1>
      <formula2>0</formula2>
    </dataValidation>
    <dataValidation type="whole" allowBlank="1" showInputMessage="1" showErrorMessage="1" sqref="E45:F49" xr:uid="{00000000-0002-0000-0000-000004000000}">
      <formula1>0</formula1>
      <formula2>4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="70" zoomScaleNormal="70" workbookViewId="0">
      <selection activeCell="D6" sqref="D6"/>
    </sheetView>
  </sheetViews>
  <sheetFormatPr defaultColWidth="15.73046875" defaultRowHeight="13.5" x14ac:dyDescent="0.3"/>
  <cols>
    <col min="1" max="1" width="9.1328125" customWidth="1"/>
    <col min="2" max="2" width="14.53125" customWidth="1"/>
    <col min="3" max="3" width="22.265625" style="21" customWidth="1"/>
    <col min="4" max="4" width="22.265625" customWidth="1"/>
  </cols>
  <sheetData>
    <row r="1" spans="1:5" ht="30" customHeight="1" x14ac:dyDescent="0.3">
      <c r="A1" s="24" t="s">
        <v>15</v>
      </c>
      <c r="B1" s="24" t="s">
        <v>16</v>
      </c>
      <c r="C1" s="14" t="s">
        <v>23</v>
      </c>
      <c r="D1" s="14" t="s">
        <v>23</v>
      </c>
      <c r="E1" s="24" t="s">
        <v>85</v>
      </c>
    </row>
    <row r="2" spans="1:5" ht="30" customHeight="1" x14ac:dyDescent="0.3">
      <c r="A2" s="24"/>
      <c r="B2" s="24"/>
      <c r="C2" s="14" t="s">
        <v>86</v>
      </c>
      <c r="D2" s="14" t="s">
        <v>87</v>
      </c>
      <c r="E2" s="24"/>
    </row>
    <row r="3" spans="1:5" ht="30" customHeight="1" x14ac:dyDescent="0.3">
      <c r="A3" s="22" t="s">
        <v>27</v>
      </c>
      <c r="B3" s="22"/>
      <c r="C3" s="15" t="s">
        <v>30</v>
      </c>
      <c r="D3" s="15" t="s">
        <v>30</v>
      </c>
      <c r="E3" s="16" t="s">
        <v>30</v>
      </c>
    </row>
    <row r="4" spans="1:5" ht="30" customHeight="1" x14ac:dyDescent="0.3">
      <c r="A4" s="1">
        <v>1</v>
      </c>
      <c r="B4" s="1" t="s">
        <v>31</v>
      </c>
      <c r="C4" s="15" t="s">
        <v>32</v>
      </c>
      <c r="D4" s="15" t="s">
        <v>88</v>
      </c>
      <c r="E4" s="16">
        <f t="shared" ref="E4:E23" si="0">IF(HEX2DEC(C4),HEX2DEC(C4)/HEX2DEC(D4),0)</f>
        <v>0.32687242520429527</v>
      </c>
    </row>
    <row r="5" spans="1:5" ht="30" customHeight="1" x14ac:dyDescent="0.3">
      <c r="A5" s="1">
        <v>2</v>
      </c>
      <c r="B5" s="1" t="s">
        <v>33</v>
      </c>
      <c r="C5" s="15" t="s">
        <v>34</v>
      </c>
      <c r="D5" s="15" t="s">
        <v>89</v>
      </c>
      <c r="E5" s="16">
        <f t="shared" si="0"/>
        <v>0.32715833953519391</v>
      </c>
    </row>
    <row r="6" spans="1:5" ht="30" customHeight="1" x14ac:dyDescent="0.3">
      <c r="A6" s="1">
        <v>3</v>
      </c>
      <c r="B6" s="1" t="s">
        <v>35</v>
      </c>
      <c r="C6" s="15" t="s">
        <v>36</v>
      </c>
      <c r="D6" s="15" t="s">
        <v>90</v>
      </c>
      <c r="E6" s="16">
        <f t="shared" si="0"/>
        <v>0.32718117429830618</v>
      </c>
    </row>
    <row r="7" spans="1:5" ht="30" customHeight="1" x14ac:dyDescent="0.3">
      <c r="A7" s="1">
        <v>4</v>
      </c>
      <c r="B7" s="1" t="s">
        <v>37</v>
      </c>
      <c r="C7" s="15" t="s">
        <v>38</v>
      </c>
      <c r="D7" s="15" t="s">
        <v>91</v>
      </c>
      <c r="E7" s="16">
        <f t="shared" si="0"/>
        <v>0.32636996352221775</v>
      </c>
    </row>
    <row r="8" spans="1:5" ht="30" customHeight="1" x14ac:dyDescent="0.3">
      <c r="A8" s="1">
        <v>5</v>
      </c>
      <c r="B8" s="1" t="s">
        <v>39</v>
      </c>
      <c r="C8" s="15" t="s">
        <v>40</v>
      </c>
      <c r="D8" s="15" t="s">
        <v>92</v>
      </c>
      <c r="E8" s="16">
        <f t="shared" si="0"/>
        <v>0.32240233010246083</v>
      </c>
    </row>
    <row r="9" spans="1:5" ht="30" customHeight="1" x14ac:dyDescent="0.3">
      <c r="A9" s="1">
        <v>6</v>
      </c>
      <c r="B9" s="1" t="s">
        <v>41</v>
      </c>
      <c r="C9" s="15" t="s">
        <v>42</v>
      </c>
      <c r="D9" s="15" t="s">
        <v>93</v>
      </c>
      <c r="E9" s="16">
        <f t="shared" si="0"/>
        <v>0.32710132608690595</v>
      </c>
    </row>
    <row r="10" spans="1:5" ht="30" customHeight="1" x14ac:dyDescent="0.3">
      <c r="A10" s="1">
        <v>7</v>
      </c>
      <c r="B10" s="1" t="s">
        <v>43</v>
      </c>
      <c r="C10" s="15" t="s">
        <v>44</v>
      </c>
      <c r="D10" s="15" t="s">
        <v>94</v>
      </c>
      <c r="E10" s="16">
        <f t="shared" si="0"/>
        <v>0.32711812478494701</v>
      </c>
    </row>
    <row r="11" spans="1:5" ht="30" customHeight="1" x14ac:dyDescent="0.3">
      <c r="A11" s="1">
        <v>8</v>
      </c>
      <c r="B11" s="1" t="s">
        <v>45</v>
      </c>
      <c r="C11" s="15" t="s">
        <v>46</v>
      </c>
      <c r="D11" s="15" t="s">
        <v>95</v>
      </c>
      <c r="E11" s="16">
        <f t="shared" si="0"/>
        <v>0.32594050271744185</v>
      </c>
    </row>
    <row r="12" spans="1:5" ht="30" customHeight="1" x14ac:dyDescent="0.3">
      <c r="A12" s="1">
        <v>9</v>
      </c>
      <c r="B12" s="1" t="s">
        <v>47</v>
      </c>
      <c r="C12" s="15" t="s">
        <v>48</v>
      </c>
      <c r="D12" s="15" t="s">
        <v>96</v>
      </c>
      <c r="E12" s="16">
        <f t="shared" si="0"/>
        <v>0.32546940666797869</v>
      </c>
    </row>
    <row r="13" spans="1:5" ht="30" customHeight="1" x14ac:dyDescent="0.3">
      <c r="A13" s="1">
        <v>10</v>
      </c>
      <c r="B13" s="1" t="s">
        <v>49</v>
      </c>
      <c r="C13" s="15" t="s">
        <v>50</v>
      </c>
      <c r="D13" s="15" t="s">
        <v>97</v>
      </c>
      <c r="E13" s="16">
        <f t="shared" si="0"/>
        <v>0.32339925233125338</v>
      </c>
    </row>
    <row r="14" spans="1:5" ht="30" customHeight="1" x14ac:dyDescent="0.3">
      <c r="A14" s="1">
        <v>11</v>
      </c>
      <c r="B14" s="1" t="s">
        <v>51</v>
      </c>
      <c r="C14" s="15" t="s">
        <v>52</v>
      </c>
      <c r="D14" s="15" t="s">
        <v>98</v>
      </c>
      <c r="E14" s="16">
        <f t="shared" si="0"/>
        <v>0.32721803455398568</v>
      </c>
    </row>
    <row r="15" spans="1:5" ht="30" customHeight="1" x14ac:dyDescent="0.3">
      <c r="A15" s="1">
        <v>12</v>
      </c>
      <c r="B15" s="1" t="s">
        <v>53</v>
      </c>
      <c r="C15" s="15" t="s">
        <v>54</v>
      </c>
      <c r="D15" s="15" t="s">
        <v>99</v>
      </c>
      <c r="E15" s="16">
        <f t="shared" si="0"/>
        <v>0.3269722916115898</v>
      </c>
    </row>
    <row r="16" spans="1:5" ht="30" customHeight="1" x14ac:dyDescent="0.3">
      <c r="A16" s="1">
        <v>13</v>
      </c>
      <c r="B16" s="1" t="s">
        <v>55</v>
      </c>
      <c r="C16" s="15" t="s">
        <v>56</v>
      </c>
      <c r="D16" s="15" t="s">
        <v>100</v>
      </c>
      <c r="E16" s="16">
        <f t="shared" si="0"/>
        <v>0.32697352776848737</v>
      </c>
    </row>
    <row r="17" spans="1:5" ht="30" customHeight="1" x14ac:dyDescent="0.3">
      <c r="A17" s="1">
        <v>14</v>
      </c>
      <c r="B17" s="1" t="s">
        <v>57</v>
      </c>
      <c r="C17" s="15" t="s">
        <v>58</v>
      </c>
      <c r="D17" s="15" t="s">
        <v>101</v>
      </c>
      <c r="E17" s="16">
        <f t="shared" si="0"/>
        <v>0.32723186704467427</v>
      </c>
    </row>
    <row r="18" spans="1:5" ht="30" customHeight="1" x14ac:dyDescent="0.3">
      <c r="A18" s="1">
        <v>15</v>
      </c>
      <c r="B18" s="1" t="s">
        <v>59</v>
      </c>
      <c r="C18" s="15" t="s">
        <v>60</v>
      </c>
      <c r="D18" s="15" t="s">
        <v>102</v>
      </c>
      <c r="E18" s="16">
        <f t="shared" si="0"/>
        <v>0.3272091446629023</v>
      </c>
    </row>
    <row r="19" spans="1:5" ht="30" customHeight="1" x14ac:dyDescent="0.3">
      <c r="A19" s="1">
        <v>16</v>
      </c>
      <c r="B19" s="1" t="s">
        <v>61</v>
      </c>
      <c r="C19" s="15" t="s">
        <v>62</v>
      </c>
      <c r="D19" s="15" t="s">
        <v>103</v>
      </c>
      <c r="E19" s="16">
        <f t="shared" si="0"/>
        <v>0.32725597337508872</v>
      </c>
    </row>
    <row r="20" spans="1:5" ht="30" customHeight="1" x14ac:dyDescent="0.3">
      <c r="A20" s="1">
        <v>17</v>
      </c>
      <c r="B20" s="1" t="s">
        <v>63</v>
      </c>
      <c r="C20" s="15" t="s">
        <v>64</v>
      </c>
      <c r="D20" s="15" t="s">
        <v>104</v>
      </c>
      <c r="E20" s="16">
        <f t="shared" si="0"/>
        <v>0.32714400417608569</v>
      </c>
    </row>
    <row r="21" spans="1:5" ht="30" customHeight="1" x14ac:dyDescent="0.3">
      <c r="A21" s="1">
        <v>18</v>
      </c>
      <c r="B21" s="1" t="s">
        <v>65</v>
      </c>
      <c r="C21" s="15" t="s">
        <v>66</v>
      </c>
      <c r="D21" s="15" t="s">
        <v>105</v>
      </c>
      <c r="E21" s="16">
        <f t="shared" si="0"/>
        <v>0.32724450313817705</v>
      </c>
    </row>
    <row r="22" spans="1:5" ht="30" customHeight="1" x14ac:dyDescent="0.3">
      <c r="A22" s="1">
        <v>19</v>
      </c>
      <c r="B22" s="1" t="s">
        <v>67</v>
      </c>
      <c r="C22" s="15" t="s">
        <v>68</v>
      </c>
      <c r="D22" s="15" t="s">
        <v>106</v>
      </c>
      <c r="E22" s="16">
        <f t="shared" si="0"/>
        <v>0.32720661968799941</v>
      </c>
    </row>
    <row r="23" spans="1:5" ht="30" customHeight="1" x14ac:dyDescent="0.3">
      <c r="A23" s="1">
        <v>20</v>
      </c>
      <c r="B23" s="1" t="s">
        <v>69</v>
      </c>
      <c r="C23" s="15" t="s">
        <v>70</v>
      </c>
      <c r="D23" s="15" t="s">
        <v>107</v>
      </c>
      <c r="E23" s="16">
        <f t="shared" si="0"/>
        <v>0.32719787424026664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1:A2"/>
    <mergeCell ref="B1:B2"/>
    <mergeCell ref="E1:E2"/>
    <mergeCell ref="A3:B3"/>
  </mergeCells>
  <phoneticPr fontId="1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用户</dc:creator>
  <dc:description/>
  <cp:lastModifiedBy>259599389@qq.com</cp:lastModifiedBy>
  <cp:revision>4</cp:revision>
  <dcterms:created xsi:type="dcterms:W3CDTF">2018-07-17T10:07:00Z</dcterms:created>
  <dcterms:modified xsi:type="dcterms:W3CDTF">2026-08-04T06:09:22Z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2052-12.1.0.21915</vt:lpwstr>
  </property>
</Properties>
</file>