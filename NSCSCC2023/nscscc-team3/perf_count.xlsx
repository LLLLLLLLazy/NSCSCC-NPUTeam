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0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<sst xmlns="http://schemas.openxmlformats.org/spreadsheetml/2006/main" count="63" uniqueCount="53">
  <si>
    <t>几何平均</t>
  </si>
  <si>
    <t>bitcount</t>
  </si>
  <si>
    <t>bubble_sort</t>
  </si>
  <si>
    <t>coremark</t>
  </si>
  <si>
    <t>crc32</t>
  </si>
  <si>
    <t>dhrystone</t>
  </si>
  <si>
    <t>quick_sort</t>
  </si>
  <si>
    <t>select_sort</t>
  </si>
  <si>
    <t>sha</t>
  </si>
  <si>
    <t>stream_copy</t>
  </si>
  <si>
    <t>stringsearch</t>
  </si>
  <si>
    <t>geomean</t>
  </si>
  <si>
    <t>IPC</t>
  </si>
  <si>
    <r>
      <rPr>
        <b/>
        <sz val="11"/>
        <color theme="1"/>
        <rFont val="宋体"/>
        <charset val="134"/>
      </rPr>
      <t>分支指令占比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不含</t>
    </r>
    <r>
      <rPr>
        <b/>
        <sz val="11"/>
        <color theme="1"/>
        <rFont val="Times New Roman"/>
        <charset val="134"/>
      </rPr>
      <t>JIRL)</t>
    </r>
  </si>
  <si>
    <r>
      <rPr>
        <b/>
        <sz val="11"/>
        <color theme="1"/>
        <rFont val="Times New Roman"/>
        <charset val="134"/>
      </rPr>
      <t>JIRL</t>
    </r>
    <r>
      <rPr>
        <b/>
        <sz val="11"/>
        <color theme="1"/>
        <rFont val="宋体"/>
        <charset val="134"/>
      </rPr>
      <t>指令占比</t>
    </r>
  </si>
  <si>
    <r>
      <rPr>
        <b/>
        <sz val="11"/>
        <color theme="1"/>
        <rFont val="Times New Roman"/>
        <charset val="134"/>
      </rPr>
      <t>PHT</t>
    </r>
    <r>
      <rPr>
        <b/>
        <sz val="11"/>
        <color theme="1"/>
        <rFont val="宋体"/>
        <charset val="134"/>
      </rPr>
      <t>预测正确率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不含</t>
    </r>
    <r>
      <rPr>
        <b/>
        <sz val="11"/>
        <color theme="1"/>
        <rFont val="Times New Roman"/>
        <charset val="134"/>
      </rPr>
      <t>JIRL)</t>
    </r>
  </si>
  <si>
    <r>
      <rPr>
        <b/>
        <sz val="11"/>
        <color theme="1"/>
        <rFont val="宋体"/>
        <charset val="134"/>
      </rPr>
      <t>预测正确率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不含</t>
    </r>
    <r>
      <rPr>
        <b/>
        <sz val="11"/>
        <color theme="1"/>
        <rFont val="Times New Roman"/>
        <charset val="134"/>
      </rPr>
      <t>JIRL)</t>
    </r>
  </si>
  <si>
    <r>
      <rPr>
        <b/>
        <sz val="11"/>
        <color theme="1"/>
        <rFont val="宋体"/>
        <charset val="134"/>
      </rPr>
      <t>预测正确率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含</t>
    </r>
    <r>
      <rPr>
        <b/>
        <sz val="11"/>
        <color theme="1"/>
        <rFont val="Times New Roman"/>
        <charset val="134"/>
      </rPr>
      <t>JIRL)</t>
    </r>
  </si>
  <si>
    <r>
      <rPr>
        <b/>
        <sz val="11"/>
        <color theme="1"/>
        <rFont val="Times New Roman"/>
        <charset val="134"/>
      </rPr>
      <t xml:space="preserve">ICache </t>
    </r>
    <r>
      <rPr>
        <b/>
        <sz val="11"/>
        <color theme="1"/>
        <rFont val="宋体"/>
        <charset val="134"/>
      </rPr>
      <t>命中率</t>
    </r>
  </si>
  <si>
    <r>
      <rPr>
        <b/>
        <sz val="11"/>
        <color theme="1"/>
        <rFont val="Times New Roman"/>
        <charset val="134"/>
      </rPr>
      <t xml:space="preserve">DCache </t>
    </r>
    <r>
      <rPr>
        <b/>
        <sz val="11"/>
        <color theme="1"/>
        <rFont val="宋体"/>
        <charset val="134"/>
      </rPr>
      <t>命中率</t>
    </r>
  </si>
  <si>
    <t>CPI</t>
  </si>
  <si>
    <r>
      <t>JIRL</t>
    </r>
    <r>
      <rPr>
        <b/>
        <sz val="11"/>
        <rFont val="宋体"/>
        <charset val="134"/>
      </rPr>
      <t>指令执行代价</t>
    </r>
  </si>
  <si>
    <r>
      <t>误预测</t>
    </r>
    <r>
      <rPr>
        <b/>
        <sz val="11"/>
        <rFont val="Times New Roman"/>
        <charset val="134"/>
      </rPr>
      <t>CPI</t>
    </r>
    <r>
      <rPr>
        <b/>
        <sz val="11"/>
        <rFont val="宋体"/>
        <charset val="134"/>
      </rPr>
      <t>增加</t>
    </r>
    <r>
      <rPr>
        <b/>
        <sz val="11"/>
        <rFont val="Times New Roman"/>
        <charset val="134"/>
      </rPr>
      <t>(</t>
    </r>
    <r>
      <rPr>
        <b/>
        <sz val="11"/>
        <rFont val="宋体"/>
        <charset val="134"/>
      </rPr>
      <t>不含</t>
    </r>
    <r>
      <rPr>
        <b/>
        <sz val="11"/>
        <rFont val="Times New Roman"/>
        <charset val="134"/>
      </rPr>
      <t>JIRL)</t>
    </r>
  </si>
  <si>
    <r>
      <rPr>
        <b/>
        <sz val="11"/>
        <rFont val="Times New Roman"/>
        <charset val="134"/>
      </rPr>
      <t>ICache miss CPI</t>
    </r>
    <r>
      <rPr>
        <b/>
        <sz val="11"/>
        <rFont val="宋体"/>
        <charset val="134"/>
      </rPr>
      <t>增加</t>
    </r>
  </si>
  <si>
    <r>
      <rPr>
        <b/>
        <sz val="11"/>
        <rFont val="Times New Roman"/>
        <charset val="134"/>
      </rPr>
      <t>DCache miss CPI</t>
    </r>
    <r>
      <rPr>
        <b/>
        <sz val="11"/>
        <rFont val="宋体"/>
        <charset val="134"/>
      </rPr>
      <t>增加</t>
    </r>
  </si>
  <si>
    <t>原始数据</t>
  </si>
  <si>
    <r>
      <rPr>
        <sz val="11"/>
        <color theme="1"/>
        <rFont val="Times New Roman"/>
        <charset val="134"/>
      </rPr>
      <t xml:space="preserve">DCache </t>
    </r>
    <r>
      <rPr>
        <sz val="11"/>
        <color theme="1"/>
        <rFont val="宋体"/>
        <charset val="134"/>
      </rPr>
      <t>总访问次数</t>
    </r>
  </si>
  <si>
    <r>
      <rPr>
        <sz val="11"/>
        <color theme="1"/>
        <rFont val="Times New Roman"/>
        <charset val="134"/>
      </rPr>
      <t>DCache miss</t>
    </r>
    <r>
      <rPr>
        <sz val="11"/>
        <color theme="1"/>
        <rFont val="宋体"/>
        <charset val="134"/>
      </rPr>
      <t>次数</t>
    </r>
  </si>
  <si>
    <r>
      <rPr>
        <sz val="11"/>
        <color theme="1"/>
        <rFont val="Times New Roman"/>
        <charset val="134"/>
      </rPr>
      <t>DCache miss</t>
    </r>
    <r>
      <rPr>
        <sz val="11"/>
        <color theme="1"/>
        <rFont val="宋体"/>
        <charset val="134"/>
      </rPr>
      <t>总代价</t>
    </r>
  </si>
  <si>
    <r>
      <rPr>
        <sz val="11"/>
        <color theme="1"/>
        <rFont val="宋体"/>
        <charset val="134"/>
      </rPr>
      <t>总周期数</t>
    </r>
  </si>
  <si>
    <r>
      <rPr>
        <sz val="11"/>
        <color theme="1"/>
        <rFont val="宋体"/>
        <charset val="134"/>
      </rPr>
      <t>总指令数</t>
    </r>
  </si>
  <si>
    <r>
      <rPr>
        <sz val="11"/>
        <color theme="1"/>
        <rFont val="宋体"/>
        <charset val="134"/>
      </rPr>
      <t>分支指令数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不含</t>
    </r>
    <r>
      <rPr>
        <sz val="11"/>
        <color theme="1"/>
        <rFont val="Times New Roman"/>
        <charset val="134"/>
      </rPr>
      <t>JIRL)</t>
    </r>
  </si>
  <si>
    <r>
      <rPr>
        <sz val="11"/>
        <color theme="1"/>
        <rFont val="Times New Roman"/>
        <charset val="134"/>
      </rPr>
      <t>JIRL</t>
    </r>
    <r>
      <rPr>
        <sz val="11"/>
        <color theme="1"/>
        <rFont val="宋体"/>
        <charset val="134"/>
      </rPr>
      <t>指令数</t>
    </r>
  </si>
  <si>
    <r>
      <rPr>
        <sz val="11"/>
        <color theme="1"/>
        <rFont val="Times New Roman"/>
        <charset val="134"/>
      </rPr>
      <t>PHT</t>
    </r>
    <r>
      <rPr>
        <sz val="11"/>
        <color theme="1"/>
        <rFont val="宋体"/>
        <charset val="134"/>
      </rPr>
      <t>预测正确数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不含</t>
    </r>
    <r>
      <rPr>
        <sz val="11"/>
        <color theme="1"/>
        <rFont val="Times New Roman"/>
        <charset val="134"/>
      </rPr>
      <t>JIRL)</t>
    </r>
  </si>
  <si>
    <r>
      <rPr>
        <sz val="11"/>
        <color theme="1"/>
        <rFont val="宋体"/>
        <charset val="134"/>
      </rPr>
      <t>总预测正确次数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不含</t>
    </r>
    <r>
      <rPr>
        <sz val="11"/>
        <color theme="1"/>
        <rFont val="Times New Roman"/>
        <charset val="134"/>
      </rPr>
      <t>JIRL)</t>
    </r>
  </si>
  <si>
    <r>
      <rPr>
        <sz val="11"/>
        <color theme="1"/>
        <rFont val="Times New Roman"/>
        <charset val="134"/>
      </rPr>
      <t>ICache uncached</t>
    </r>
    <r>
      <rPr>
        <sz val="11"/>
        <color theme="1"/>
        <rFont val="宋体"/>
        <charset val="134"/>
      </rPr>
      <t>访问数</t>
    </r>
  </si>
  <si>
    <r>
      <rPr>
        <sz val="11"/>
        <color theme="1"/>
        <rFont val="Times New Roman"/>
        <charset val="134"/>
      </rPr>
      <t>ICache miss</t>
    </r>
    <r>
      <rPr>
        <sz val="11"/>
        <color theme="1"/>
        <rFont val="宋体"/>
        <charset val="134"/>
      </rPr>
      <t>次数</t>
    </r>
  </si>
  <si>
    <r>
      <rPr>
        <sz val="11"/>
        <color theme="1"/>
        <rFont val="Times New Roman"/>
        <charset val="134"/>
      </rPr>
      <t>ICache miss</t>
    </r>
    <r>
      <rPr>
        <sz val="11"/>
        <color theme="1"/>
        <rFont val="宋体"/>
        <charset val="134"/>
      </rPr>
      <t>总代价</t>
    </r>
  </si>
  <si>
    <t>以下计数暂未实现</t>
  </si>
  <si>
    <r>
      <rPr>
        <sz val="11"/>
        <color theme="1"/>
        <rFont val="Times New Roman"/>
        <charset val="134"/>
      </rPr>
      <t>load</t>
    </r>
    <r>
      <rPr>
        <sz val="11"/>
        <color theme="1"/>
        <rFont val="宋体"/>
        <charset val="134"/>
      </rPr>
      <t>指令数</t>
    </r>
  </si>
  <si>
    <r>
      <rPr>
        <sz val="11"/>
        <color theme="1"/>
        <rFont val="Times New Roman"/>
        <charset val="134"/>
      </rPr>
      <t>load</t>
    </r>
    <r>
      <rPr>
        <sz val="11"/>
        <color theme="1"/>
        <rFont val="宋体"/>
        <charset val="134"/>
      </rPr>
      <t>指令占比</t>
    </r>
  </si>
  <si>
    <r>
      <rPr>
        <sz val="11"/>
        <color theme="1"/>
        <rFont val="Times New Roman"/>
        <charset val="134"/>
      </rPr>
      <t>load to use</t>
    </r>
    <r>
      <rPr>
        <sz val="11"/>
        <color theme="1"/>
        <rFont val="宋体"/>
        <charset val="134"/>
      </rPr>
      <t>总阻塞次数</t>
    </r>
  </si>
  <si>
    <r>
      <rPr>
        <sz val="11"/>
        <rFont val="Times New Roman"/>
        <charset val="134"/>
      </rPr>
      <t>load to use</t>
    </r>
    <r>
      <rPr>
        <sz val="11"/>
        <rFont val="宋体"/>
        <charset val="134"/>
      </rPr>
      <t>平均阻塞次数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以总指令为分母</t>
    </r>
    <r>
      <rPr>
        <sz val="11"/>
        <rFont val="Times New Roman"/>
        <charset val="134"/>
      </rPr>
      <t>)</t>
    </r>
  </si>
  <si>
    <r>
      <rPr>
        <sz val="11"/>
        <rFont val="Times New Roman"/>
        <charset val="134"/>
      </rPr>
      <t>load to use</t>
    </r>
    <r>
      <rPr>
        <sz val="11"/>
        <rFont val="宋体"/>
        <charset val="134"/>
      </rPr>
      <t>平均阻塞次数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以</t>
    </r>
    <r>
      <rPr>
        <sz val="11"/>
        <rFont val="Times New Roman"/>
        <charset val="134"/>
      </rPr>
      <t>ld</t>
    </r>
    <r>
      <rPr>
        <sz val="11"/>
        <rFont val="宋体"/>
        <charset val="134"/>
      </rPr>
      <t>指令为分母</t>
    </r>
    <r>
      <rPr>
        <sz val="11"/>
        <rFont val="Times New Roman"/>
        <charset val="134"/>
      </rPr>
      <t>)</t>
    </r>
  </si>
  <si>
    <r>
      <rPr>
        <sz val="11"/>
        <rFont val="Times New Roman"/>
        <charset val="134"/>
      </rPr>
      <t>load to use</t>
    </r>
    <r>
      <rPr>
        <sz val="11"/>
        <rFont val="宋体"/>
        <charset val="134"/>
      </rPr>
      <t>代价</t>
    </r>
  </si>
  <si>
    <r>
      <rPr>
        <sz val="11"/>
        <color theme="1"/>
        <rFont val="宋体"/>
        <charset val="134"/>
      </rPr>
      <t>乘法指令次数</t>
    </r>
  </si>
  <si>
    <r>
      <rPr>
        <sz val="11"/>
        <color theme="1"/>
        <rFont val="宋体"/>
        <charset val="134"/>
      </rPr>
      <t>乘法指令占比</t>
    </r>
  </si>
  <si>
    <r>
      <rPr>
        <sz val="11"/>
        <color theme="1"/>
        <rFont val="宋体"/>
        <charset val="134"/>
      </rPr>
      <t>乘法指令代价</t>
    </r>
  </si>
  <si>
    <r>
      <rPr>
        <sz val="11"/>
        <color theme="1"/>
        <rFont val="宋体"/>
        <charset val="134"/>
      </rPr>
      <t>有符号除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模指令次数</t>
    </r>
  </si>
  <si>
    <r>
      <rPr>
        <sz val="11"/>
        <color theme="1"/>
        <rFont val="宋体"/>
        <charset val="134"/>
      </rPr>
      <t>有符号除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模指令占比</t>
    </r>
  </si>
  <si>
    <r>
      <rPr>
        <sz val="11"/>
        <color theme="1"/>
        <rFont val="宋体"/>
        <charset val="134"/>
      </rPr>
      <t>无符号除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模指令次数</t>
    </r>
  </si>
  <si>
    <r>
      <rPr>
        <sz val="11"/>
        <color theme="1"/>
        <rFont val="宋体"/>
        <charset val="134"/>
      </rPr>
      <t>无符号除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模指令占比</t>
    </r>
  </si>
  <si>
    <r>
      <rPr>
        <sz val="11"/>
        <color theme="1"/>
        <rFont val="宋体"/>
        <charset val="134"/>
      </rPr>
      <t>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模指令代价</t>
    </r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</si>
</sst>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  <numFmt numFmtId="178" formatCode="0.000_ "/>
  </numFmts>
  <fonts count="32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C00000"/>
      <name val="Times New Roman"/>
      <charset val="134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theme="1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176" fontId="1" fillId="2" borderId="2" xfId="0" applyNumberFormat="1" applyFont="1" applyFill="1" applyBorder="1" applyAlignment="1" applyProtection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178" fontId="7" fillId="4" borderId="2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7" fontId="7" fillId="4" borderId="2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9" fillId="6" borderId="0" xfId="0" applyFont="1" applyFill="1">
      <alignment vertical="center"/>
    </xf>
    <xf numFmtId="176" fontId="10" fillId="2" borderId="2" xfId="0" applyNumberFormat="1" applyFont="1" applyFill="1" applyBorder="1" applyAlignment="1" applyProtection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workbookViewId="0">
      <selection activeCell="F11" sqref="F11"/>
    </sheetView>
  </sheetViews>
  <sheetFormatPr defaultColWidth="9" defaultRowHeight="14"/>
  <cols>
    <col min="1" max="1" width="24.5454545454545" customWidth="1"/>
    <col min="2" max="2" width="12.5" customWidth="1"/>
    <col min="3" max="3" width="12" customWidth="1"/>
    <col min="4" max="4" width="10.7272727272727" customWidth="1"/>
    <col min="5" max="5" width="10.3636363636364" customWidth="1"/>
    <col min="6" max="6" width="15.0909090909091" customWidth="1"/>
    <col min="7" max="7" width="13.0909090909091" customWidth="1"/>
    <col min="8" max="8" width="12.1818181818182" customWidth="1"/>
    <col min="9" max="9" width="13.8727272727273" customWidth="1"/>
    <col min="10" max="10" width="15.7272727272727" customWidth="1"/>
    <col min="11" max="11" width="12.7272727272727" customWidth="1"/>
    <col min="12" max="12" width="10.0909090909091" customWidth="1"/>
    <col min="13" max="13" width="12.6454545454545" customWidth="1"/>
    <col min="14" max="14" width="15.5909090909091" customWidth="1"/>
  </cols>
  <sheetData>
    <row r="1" spans="1:1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3" t="s">
        <v>0</v>
      </c>
    </row>
    <row r="2" spans="1:12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s="5" t="s">
        <v>12</v>
      </c>
      <c r="B3" s="6">
        <f>B27/B26</f>
        <v>0.815982628906967</v>
      </c>
      <c r="C3" s="6">
        <f t="shared" ref="C3:K3" si="0">C27/C26</f>
        <v>0.589629532061957</v>
      </c>
      <c r="D3" s="6">
        <f t="shared" si="0"/>
        <v>0.624995321569283</v>
      </c>
      <c r="E3" s="6">
        <f t="shared" si="0"/>
        <v>0.603641633100775</v>
      </c>
      <c r="F3" s="6">
        <f t="shared" si="0"/>
        <v>0.620711321824777</v>
      </c>
      <c r="G3" s="6">
        <f t="shared" si="0"/>
        <v>0.644395871342065</v>
      </c>
      <c r="H3" s="6">
        <f t="shared" si="0"/>
        <v>0.722693654149622</v>
      </c>
      <c r="I3" s="6">
        <f t="shared" si="0"/>
        <v>0.733672168533387</v>
      </c>
      <c r="J3" s="6">
        <f t="shared" si="0"/>
        <v>0.576210805871266</v>
      </c>
      <c r="K3" s="6">
        <f t="shared" si="0"/>
        <v>0.695502152194285</v>
      </c>
      <c r="L3" s="24">
        <f t="shared" ref="L3:L10" si="1">GEOMEAN(B3:K3)</f>
        <v>0.658915110604988</v>
      </c>
    </row>
    <row r="4" spans="1:12">
      <c r="A4" s="7" t="s">
        <v>13</v>
      </c>
      <c r="B4" s="6">
        <f>B28/B27</f>
        <v>0.103647414514698</v>
      </c>
      <c r="C4" s="6">
        <f t="shared" ref="C4:K4" si="2">C28/C27</f>
        <v>0.258105007409046</v>
      </c>
      <c r="D4" s="6">
        <f t="shared" si="2"/>
        <v>0.196879407404115</v>
      </c>
      <c r="E4" s="6">
        <f t="shared" si="2"/>
        <v>0.233670097549442</v>
      </c>
      <c r="F4" s="6">
        <f t="shared" si="2"/>
        <v>0.194968842847001</v>
      </c>
      <c r="G4" s="6">
        <f t="shared" si="2"/>
        <v>0.281217287273815</v>
      </c>
      <c r="H4" s="6">
        <f t="shared" si="2"/>
        <v>0.319021908351938</v>
      </c>
      <c r="I4" s="6">
        <f t="shared" si="2"/>
        <v>0.151001297824268</v>
      </c>
      <c r="J4" s="6">
        <f t="shared" si="2"/>
        <v>0.0386564408816642</v>
      </c>
      <c r="K4" s="6">
        <f t="shared" si="2"/>
        <v>0.166641545697783</v>
      </c>
      <c r="L4" s="24">
        <f t="shared" si="1"/>
        <v>0.170646423489704</v>
      </c>
    </row>
    <row r="5" spans="1:12">
      <c r="A5" s="5" t="s">
        <v>14</v>
      </c>
      <c r="B5" s="6">
        <f>B29/B27</f>
        <v>0.045447446997239</v>
      </c>
      <c r="C5" s="6">
        <f t="shared" ref="C5:K5" si="3">C29/C27</f>
        <v>0.000174455650501507</v>
      </c>
      <c r="D5" s="6">
        <f t="shared" si="3"/>
        <v>0.00388075356751823</v>
      </c>
      <c r="E5" s="6">
        <f t="shared" si="3"/>
        <v>0.00944795710570271</v>
      </c>
      <c r="F5" s="6">
        <f t="shared" si="3"/>
        <v>0.045090228661075</v>
      </c>
      <c r="G5" s="6">
        <f t="shared" si="3"/>
        <v>0.00528855739993021</v>
      </c>
      <c r="H5" s="6">
        <f t="shared" si="3"/>
        <v>0.000214644875353601</v>
      </c>
      <c r="I5" s="6">
        <f t="shared" si="3"/>
        <v>0.00229411977222767</v>
      </c>
      <c r="J5" s="6">
        <f t="shared" si="3"/>
        <v>0.00200716135347103</v>
      </c>
      <c r="K5" s="6">
        <f t="shared" si="3"/>
        <v>0.035289937087959</v>
      </c>
      <c r="L5" s="24">
        <f t="shared" si="1"/>
        <v>0.00434854326467864</v>
      </c>
    </row>
    <row r="6" spans="1:12">
      <c r="A6" s="5" t="s">
        <v>15</v>
      </c>
      <c r="B6" s="6">
        <f>B30/B28</f>
        <v>0.922675907789664</v>
      </c>
      <c r="C6" s="6">
        <f t="shared" ref="C6:K6" si="4">C30/C28</f>
        <v>0.697963204141183</v>
      </c>
      <c r="D6" s="6">
        <f t="shared" si="4"/>
        <v>0.861133322671784</v>
      </c>
      <c r="E6" s="6">
        <f t="shared" si="4"/>
        <v>0.962835198237436</v>
      </c>
      <c r="F6" s="6">
        <f t="shared" si="4"/>
        <v>0.9490352089725</v>
      </c>
      <c r="G6" s="6">
        <f t="shared" si="4"/>
        <v>0.764515753788886</v>
      </c>
      <c r="H6" s="6">
        <f t="shared" si="4"/>
        <v>0.951980463250227</v>
      </c>
      <c r="I6" s="6">
        <f t="shared" si="4"/>
        <v>0.948721134070424</v>
      </c>
      <c r="J6" s="6">
        <f t="shared" si="4"/>
        <v>0.971474358974359</v>
      </c>
      <c r="K6" s="6">
        <f t="shared" si="4"/>
        <v>0.917148605164919</v>
      </c>
      <c r="L6" s="24">
        <f t="shared" si="1"/>
        <v>0.889981643111109</v>
      </c>
    </row>
    <row r="7" spans="1:12">
      <c r="A7" s="7" t="s">
        <v>16</v>
      </c>
      <c r="B7" s="6">
        <f>B31/B28</f>
        <v>0.923007382853699</v>
      </c>
      <c r="C7" s="6">
        <f t="shared" ref="C7:K7" si="5">C31/C28</f>
        <v>0.68836446364101</v>
      </c>
      <c r="D7" s="6">
        <f t="shared" si="5"/>
        <v>0.841674427647278</v>
      </c>
      <c r="E7" s="6">
        <f t="shared" si="5"/>
        <v>0.947818725201195</v>
      </c>
      <c r="F7" s="6">
        <f t="shared" si="5"/>
        <v>0.933582819190182</v>
      </c>
      <c r="G7" s="6">
        <f t="shared" si="5"/>
        <v>0.763374656562971</v>
      </c>
      <c r="H7" s="6">
        <f t="shared" si="5"/>
        <v>0.950306715342412</v>
      </c>
      <c r="I7" s="6">
        <f t="shared" si="5"/>
        <v>0.946567835797203</v>
      </c>
      <c r="J7" s="6">
        <f t="shared" si="5"/>
        <v>0.968589743589744</v>
      </c>
      <c r="K7" s="6">
        <f t="shared" si="5"/>
        <v>0.907484253630299</v>
      </c>
      <c r="L7" s="24">
        <f t="shared" si="1"/>
        <v>0.882221856065583</v>
      </c>
    </row>
    <row r="8" spans="1:12">
      <c r="A8" s="7" t="s">
        <v>17</v>
      </c>
      <c r="B8" s="6">
        <f>B31/(B29+B28)</f>
        <v>0.641654097536451</v>
      </c>
      <c r="C8" s="6">
        <f t="shared" ref="C8:K8" si="6">C31/(C29+C28)</f>
        <v>0.687899505766063</v>
      </c>
      <c r="D8" s="6">
        <f t="shared" si="6"/>
        <v>0.825404610857071</v>
      </c>
      <c r="E8" s="6">
        <f t="shared" si="6"/>
        <v>0.910984971030264</v>
      </c>
      <c r="F8" s="6">
        <f t="shared" si="6"/>
        <v>0.758228217812745</v>
      </c>
      <c r="G8" s="6">
        <f t="shared" si="6"/>
        <v>0.749283667621776</v>
      </c>
      <c r="H8" s="6">
        <f t="shared" si="6"/>
        <v>0.949667758229261</v>
      </c>
      <c r="I8" s="6">
        <f t="shared" si="6"/>
        <v>0.932402115634758</v>
      </c>
      <c r="J8" s="6">
        <f t="shared" si="6"/>
        <v>0.92078001218769</v>
      </c>
      <c r="K8" s="6">
        <f t="shared" si="6"/>
        <v>0.748890547601276</v>
      </c>
      <c r="L8" s="24">
        <f t="shared" si="1"/>
        <v>0.805600905625178</v>
      </c>
    </row>
    <row r="9" spans="1:12">
      <c r="A9" s="5" t="s">
        <v>18</v>
      </c>
      <c r="B9" s="6">
        <f>1-(B33/B27)</f>
        <v>0.999672051272441</v>
      </c>
      <c r="C9" s="6">
        <f t="shared" ref="C9:K9" si="7">1-(C33/C27)</f>
        <v>0.99990958091285</v>
      </c>
      <c r="D9" s="6">
        <f t="shared" si="7"/>
        <v>0.996307542620533</v>
      </c>
      <c r="E9" s="6">
        <f t="shared" si="7"/>
        <v>0.999973305469328</v>
      </c>
      <c r="F9" s="6">
        <f t="shared" si="7"/>
        <v>0.999719541801418</v>
      </c>
      <c r="G9" s="6">
        <f t="shared" si="7"/>
        <v>0.999915881561238</v>
      </c>
      <c r="H9" s="6">
        <f t="shared" si="7"/>
        <v>0.999913877056185</v>
      </c>
      <c r="I9" s="6">
        <f t="shared" si="7"/>
        <v>0.99971792470396</v>
      </c>
      <c r="J9" s="6">
        <f t="shared" si="7"/>
        <v>0.999442455179591</v>
      </c>
      <c r="K9" s="6">
        <f t="shared" si="7"/>
        <v>0.999931488266681</v>
      </c>
      <c r="L9" s="24">
        <f t="shared" si="1"/>
        <v>0.999449802659889</v>
      </c>
    </row>
    <row r="10" spans="1:12">
      <c r="A10" s="5" t="s">
        <v>19</v>
      </c>
      <c r="B10" s="6">
        <f>1-(B22/B21)</f>
        <v>0.999090389313374</v>
      </c>
      <c r="C10" s="6">
        <f t="shared" ref="C10:K10" si="8">1-(C22/C21)</f>
        <v>0.999714853679202</v>
      </c>
      <c r="D10" s="6">
        <f t="shared" si="8"/>
        <v>0.999788438635852</v>
      </c>
      <c r="E10" s="6">
        <f t="shared" si="8"/>
        <v>0.99980526653915</v>
      </c>
      <c r="F10" s="6">
        <f t="shared" si="8"/>
        <v>0.998879919022294</v>
      </c>
      <c r="G10" s="6">
        <f t="shared" si="8"/>
        <v>0.976869210186006</v>
      </c>
      <c r="H10" s="6">
        <f t="shared" si="8"/>
        <v>0.999471246081138</v>
      </c>
      <c r="I10" s="6">
        <f t="shared" si="8"/>
        <v>0.999338977654747</v>
      </c>
      <c r="J10" s="6">
        <f t="shared" si="8"/>
        <v>0.98720703125</v>
      </c>
      <c r="K10" s="6">
        <f t="shared" si="8"/>
        <v>0.999222844653808</v>
      </c>
      <c r="L10" s="24">
        <f t="shared" si="1"/>
        <v>0.995911594696018</v>
      </c>
    </row>
    <row r="12" spans="1:11">
      <c r="A12" s="8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</row>
    <row r="13" spans="1:11">
      <c r="A13" s="9"/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</row>
    <row r="14" spans="1:11">
      <c r="A14" s="10" t="s">
        <v>20</v>
      </c>
      <c r="B14" s="11">
        <f>1/B3</f>
        <v>1.22551628499681</v>
      </c>
      <c r="C14" s="11">
        <f t="shared" ref="C14:K14" si="9">1/C3</f>
        <v>1.6959801801361</v>
      </c>
      <c r="D14" s="11">
        <f t="shared" si="9"/>
        <v>1.60001197687229</v>
      </c>
      <c r="E14" s="11">
        <f t="shared" si="9"/>
        <v>1.65661204457224</v>
      </c>
      <c r="F14" s="11">
        <f t="shared" si="9"/>
        <v>1.61105487339942</v>
      </c>
      <c r="G14" s="11">
        <f t="shared" si="9"/>
        <v>1.55184110338468</v>
      </c>
      <c r="H14" s="11">
        <f t="shared" si="9"/>
        <v>1.38371216387209</v>
      </c>
      <c r="I14" s="11">
        <f t="shared" si="9"/>
        <v>1.36300658916775</v>
      </c>
      <c r="J14" s="11">
        <f t="shared" si="9"/>
        <v>1.73547595742836</v>
      </c>
      <c r="K14" s="11">
        <f t="shared" si="9"/>
        <v>1.43781007268638</v>
      </c>
    </row>
    <row r="15" spans="1:11">
      <c r="A15" s="10" t="s">
        <v>21</v>
      </c>
      <c r="B15" s="12">
        <f>B29*3/B27</f>
        <v>0.136342340991717</v>
      </c>
      <c r="C15" s="13">
        <f t="shared" ref="C15:K15" si="10">C29*3/C27</f>
        <v>0.00052336695150452</v>
      </c>
      <c r="D15" s="13">
        <f t="shared" si="10"/>
        <v>0.0116422607025547</v>
      </c>
      <c r="E15" s="13">
        <f t="shared" si="10"/>
        <v>0.0283438713171081</v>
      </c>
      <c r="F15" s="13">
        <f t="shared" si="10"/>
        <v>0.135270685983225</v>
      </c>
      <c r="G15" s="13">
        <f t="shared" si="10"/>
        <v>0.0158656721997906</v>
      </c>
      <c r="H15" s="13">
        <f t="shared" si="10"/>
        <v>0.000643934626060803</v>
      </c>
      <c r="I15" s="13">
        <f t="shared" si="10"/>
        <v>0.00688235931668302</v>
      </c>
      <c r="J15" s="13">
        <f t="shared" si="10"/>
        <v>0.00602148406041308</v>
      </c>
      <c r="K15" s="13">
        <f t="shared" si="10"/>
        <v>0.105869811263877</v>
      </c>
    </row>
    <row r="16" spans="1:11">
      <c r="A16" s="14" t="s">
        <v>22</v>
      </c>
      <c r="B16" s="11">
        <f>(1-B7)*3*(B4)</f>
        <v>0.0239402571118024</v>
      </c>
      <c r="C16" s="15">
        <f t="shared" ref="C16:K16" si="11">(1-C7)*3*(C4)</f>
        <v>0.241304077262578</v>
      </c>
      <c r="D16" s="11">
        <f t="shared" si="11"/>
        <v>0.0935131345851635</v>
      </c>
      <c r="E16" s="11">
        <f t="shared" si="11"/>
        <v>0.0365796107174727</v>
      </c>
      <c r="F16" s="11">
        <f t="shared" si="11"/>
        <v>0.0388478426629506</v>
      </c>
      <c r="G16" s="15">
        <f t="shared" si="11"/>
        <v>0.199629411544788</v>
      </c>
      <c r="H16" s="11">
        <f t="shared" si="11"/>
        <v>0.0475597395112192</v>
      </c>
      <c r="I16" s="11">
        <f t="shared" si="11"/>
        <v>0.0242049784205451</v>
      </c>
      <c r="J16" s="11">
        <f t="shared" si="11"/>
        <v>0.00364262616000297</v>
      </c>
      <c r="K16" s="11">
        <f t="shared" si="11"/>
        <v>0.0462509009292931</v>
      </c>
    </row>
    <row r="17" spans="1:12">
      <c r="A17" s="10" t="s">
        <v>23</v>
      </c>
      <c r="B17" s="11">
        <f>B34/B27</f>
        <v>0.0210074584910611</v>
      </c>
      <c r="C17" s="11">
        <f t="shared" ref="C17:K17" si="12">C34/C27</f>
        <v>0.00579001283951038</v>
      </c>
      <c r="D17" s="15">
        <f t="shared" si="12"/>
        <v>0.236226211014586</v>
      </c>
      <c r="E17" s="11">
        <f t="shared" si="12"/>
        <v>0.00171131009129529</v>
      </c>
      <c r="F17" s="11">
        <f t="shared" si="12"/>
        <v>0.0179493247092437</v>
      </c>
      <c r="G17" s="11">
        <f t="shared" si="12"/>
        <v>0.00537812795972285</v>
      </c>
      <c r="H17" s="11">
        <f t="shared" si="12"/>
        <v>0.00550921846740909</v>
      </c>
      <c r="I17" s="11">
        <f t="shared" si="12"/>
        <v>0.0180708828817813</v>
      </c>
      <c r="J17" s="11">
        <f t="shared" si="12"/>
        <v>0.0357200381608455</v>
      </c>
      <c r="K17" s="11">
        <f t="shared" si="12"/>
        <v>0.00438931838133265</v>
      </c>
      <c r="L17" s="18"/>
    </row>
    <row r="18" spans="1:12">
      <c r="A18" s="10" t="s">
        <v>24</v>
      </c>
      <c r="B18" s="11">
        <f>B23/B27</f>
        <v>0.00753345077021101</v>
      </c>
      <c r="C18" s="11">
        <f t="shared" ref="C18:K18" si="13">C23/C27</f>
        <v>0.0127267524548782</v>
      </c>
      <c r="D18" s="11">
        <f t="shared" si="13"/>
        <v>0.00447527563012085</v>
      </c>
      <c r="E18" s="11">
        <f t="shared" si="13"/>
        <v>0.00336875443319884</v>
      </c>
      <c r="F18" s="11">
        <f t="shared" si="13"/>
        <v>0.0201206846685773</v>
      </c>
      <c r="G18" s="15">
        <f t="shared" si="13"/>
        <v>0.288107989382384</v>
      </c>
      <c r="H18" s="11">
        <f t="shared" si="13"/>
        <v>0.0100366353753304</v>
      </c>
      <c r="I18" s="11">
        <f t="shared" si="13"/>
        <v>0.0115810667726418</v>
      </c>
      <c r="J18" s="15">
        <f t="shared" si="13"/>
        <v>0.422358786286875</v>
      </c>
      <c r="K18" s="11">
        <f t="shared" si="13"/>
        <v>0.0174851078329008</v>
      </c>
      <c r="L18" s="18"/>
    </row>
    <row r="20" spans="1:1">
      <c r="A20" s="16" t="s">
        <v>25</v>
      </c>
    </row>
    <row r="21" spans="1:11">
      <c r="A21" s="17" t="s">
        <v>26</v>
      </c>
      <c r="B21" s="18">
        <v>38478</v>
      </c>
      <c r="C21" s="18">
        <v>613720</v>
      </c>
      <c r="D21" s="18">
        <v>968986</v>
      </c>
      <c r="E21" s="18">
        <v>549469</v>
      </c>
      <c r="F21" s="18">
        <v>120527</v>
      </c>
      <c r="G21" s="18">
        <v>245906</v>
      </c>
      <c r="H21" s="18">
        <v>213710</v>
      </c>
      <c r="I21" s="18">
        <v>370638</v>
      </c>
      <c r="J21" s="18">
        <v>40960</v>
      </c>
      <c r="K21" s="18">
        <v>377016</v>
      </c>
    </row>
    <row r="22" spans="1:11">
      <c r="A22" s="17" t="s">
        <v>27</v>
      </c>
      <c r="B22" s="18">
        <v>35</v>
      </c>
      <c r="C22" s="18">
        <v>175</v>
      </c>
      <c r="D22" s="18">
        <v>205</v>
      </c>
      <c r="E22" s="18">
        <v>107</v>
      </c>
      <c r="F22" s="18">
        <v>135</v>
      </c>
      <c r="G22" s="18">
        <v>5688</v>
      </c>
      <c r="H22" s="18">
        <v>113</v>
      </c>
      <c r="I22" s="18">
        <v>245</v>
      </c>
      <c r="J22" s="18">
        <v>524</v>
      </c>
      <c r="K22" s="18">
        <v>293</v>
      </c>
    </row>
    <row r="23" spans="1:11">
      <c r="A23" s="17" t="s">
        <v>28</v>
      </c>
      <c r="B23" s="18">
        <v>2412</v>
      </c>
      <c r="C23" s="18">
        <v>11964</v>
      </c>
      <c r="D23" s="18">
        <v>14498</v>
      </c>
      <c r="E23" s="18">
        <v>7067</v>
      </c>
      <c r="F23" s="18">
        <v>9183</v>
      </c>
      <c r="G23" s="18">
        <v>369903</v>
      </c>
      <c r="H23" s="18">
        <v>7575</v>
      </c>
      <c r="I23" s="18">
        <v>16669</v>
      </c>
      <c r="J23" s="18">
        <v>34089</v>
      </c>
      <c r="K23" s="18">
        <v>19141</v>
      </c>
    </row>
    <row r="26" spans="1:12">
      <c r="A26" s="17" t="s">
        <v>29</v>
      </c>
      <c r="B26" s="18">
        <v>392376</v>
      </c>
      <c r="C26" s="18">
        <v>1594335</v>
      </c>
      <c r="D26" s="18">
        <v>5183362</v>
      </c>
      <c r="E26" s="18">
        <v>3475254</v>
      </c>
      <c r="F26" s="18">
        <v>735279</v>
      </c>
      <c r="G26" s="18">
        <v>1992415</v>
      </c>
      <c r="H26" s="18">
        <v>1044336</v>
      </c>
      <c r="I26" s="18">
        <v>1961819</v>
      </c>
      <c r="J26" s="18">
        <v>140072</v>
      </c>
      <c r="K26" s="18">
        <v>1573975</v>
      </c>
      <c r="L26" s="18"/>
    </row>
    <row r="27" spans="1:11">
      <c r="A27" s="17" t="s">
        <v>30</v>
      </c>
      <c r="B27" s="18">
        <v>320172</v>
      </c>
      <c r="C27" s="18">
        <v>940067</v>
      </c>
      <c r="D27" s="18">
        <v>3239577</v>
      </c>
      <c r="E27" s="18">
        <v>2097808</v>
      </c>
      <c r="F27" s="18">
        <v>456396</v>
      </c>
      <c r="G27" s="18">
        <v>1283904</v>
      </c>
      <c r="H27" s="18">
        <v>754735</v>
      </c>
      <c r="I27" s="18">
        <v>1439332</v>
      </c>
      <c r="J27" s="18">
        <v>80711</v>
      </c>
      <c r="K27" s="18">
        <v>1094703</v>
      </c>
    </row>
    <row r="28" spans="1:12">
      <c r="A28" s="17" t="s">
        <v>31</v>
      </c>
      <c r="B28" s="18">
        <v>33185</v>
      </c>
      <c r="C28" s="18">
        <v>242636</v>
      </c>
      <c r="D28" s="18">
        <v>637806</v>
      </c>
      <c r="E28" s="18">
        <v>490195</v>
      </c>
      <c r="F28" s="18">
        <v>88983</v>
      </c>
      <c r="G28" s="18">
        <v>361056</v>
      </c>
      <c r="H28" s="18">
        <v>240777</v>
      </c>
      <c r="I28" s="18">
        <v>217341</v>
      </c>
      <c r="J28" s="18">
        <v>3120</v>
      </c>
      <c r="K28" s="18">
        <v>182423</v>
      </c>
      <c r="L28" s="18"/>
    </row>
    <row r="29" spans="1:12">
      <c r="A29" s="17" t="s">
        <v>32</v>
      </c>
      <c r="B29" s="18">
        <v>14551</v>
      </c>
      <c r="C29" s="18">
        <v>164</v>
      </c>
      <c r="D29" s="18">
        <v>12572</v>
      </c>
      <c r="E29" s="18">
        <v>19820</v>
      </c>
      <c r="F29" s="18">
        <v>20579</v>
      </c>
      <c r="G29" s="18">
        <v>6790</v>
      </c>
      <c r="H29" s="18">
        <v>162</v>
      </c>
      <c r="I29" s="18">
        <v>3302</v>
      </c>
      <c r="J29" s="18">
        <v>162</v>
      </c>
      <c r="K29" s="18">
        <v>38632</v>
      </c>
      <c r="L29" s="18"/>
    </row>
    <row r="30" spans="1:12">
      <c r="A30" s="17" t="s">
        <v>33</v>
      </c>
      <c r="B30" s="18">
        <v>30619</v>
      </c>
      <c r="C30" s="18">
        <v>169351</v>
      </c>
      <c r="D30" s="18">
        <v>549236</v>
      </c>
      <c r="E30" s="18">
        <v>471977</v>
      </c>
      <c r="F30" s="18">
        <v>84448</v>
      </c>
      <c r="G30" s="18">
        <v>276033</v>
      </c>
      <c r="H30" s="18">
        <v>229215</v>
      </c>
      <c r="I30" s="18">
        <v>206196</v>
      </c>
      <c r="J30" s="18">
        <v>3031</v>
      </c>
      <c r="K30" s="18">
        <v>167309</v>
      </c>
      <c r="L30" s="18"/>
    </row>
    <row r="31" spans="1:11">
      <c r="A31" s="17" t="s">
        <v>34</v>
      </c>
      <c r="B31" s="18">
        <v>30630</v>
      </c>
      <c r="C31" s="18">
        <v>167022</v>
      </c>
      <c r="D31" s="18">
        <v>536825</v>
      </c>
      <c r="E31" s="18">
        <v>464616</v>
      </c>
      <c r="F31" s="18">
        <v>83073</v>
      </c>
      <c r="G31" s="18">
        <v>275621</v>
      </c>
      <c r="H31" s="18">
        <v>228812</v>
      </c>
      <c r="I31" s="18">
        <v>205728</v>
      </c>
      <c r="J31" s="18">
        <v>3022</v>
      </c>
      <c r="K31" s="18">
        <v>165546</v>
      </c>
    </row>
    <row r="32" spans="1:12">
      <c r="A32" s="17" t="s">
        <v>35</v>
      </c>
      <c r="B32" s="18">
        <v>28</v>
      </c>
      <c r="C32" s="18">
        <v>28</v>
      </c>
      <c r="D32" s="18">
        <v>28</v>
      </c>
      <c r="E32" s="18">
        <v>28</v>
      </c>
      <c r="F32" s="18">
        <v>28</v>
      </c>
      <c r="G32" s="18">
        <v>28</v>
      </c>
      <c r="H32" s="18">
        <v>28</v>
      </c>
      <c r="I32" s="18">
        <v>28</v>
      </c>
      <c r="J32" s="18">
        <v>28</v>
      </c>
      <c r="K32" s="18">
        <v>28</v>
      </c>
      <c r="L32" s="18"/>
    </row>
    <row r="33" spans="1:12">
      <c r="A33" s="17" t="s">
        <v>36</v>
      </c>
      <c r="B33" s="18">
        <v>105</v>
      </c>
      <c r="C33" s="18">
        <v>85</v>
      </c>
      <c r="D33" s="18">
        <v>11962</v>
      </c>
      <c r="E33" s="18">
        <v>56</v>
      </c>
      <c r="F33" s="18">
        <v>128</v>
      </c>
      <c r="G33" s="18">
        <v>108</v>
      </c>
      <c r="H33" s="18">
        <v>65</v>
      </c>
      <c r="I33" s="18">
        <v>406</v>
      </c>
      <c r="J33" s="18">
        <v>45</v>
      </c>
      <c r="K33" s="18">
        <v>75</v>
      </c>
      <c r="L33" s="18"/>
    </row>
    <row r="34" spans="1:11">
      <c r="A34" s="17" t="s">
        <v>37</v>
      </c>
      <c r="B34" s="18">
        <v>6726</v>
      </c>
      <c r="C34" s="18">
        <v>5443</v>
      </c>
      <c r="D34" s="18">
        <v>765273</v>
      </c>
      <c r="E34" s="18">
        <v>3590</v>
      </c>
      <c r="F34" s="18">
        <v>8192</v>
      </c>
      <c r="G34" s="18">
        <v>6905</v>
      </c>
      <c r="H34" s="18">
        <v>4158</v>
      </c>
      <c r="I34" s="18">
        <v>26010</v>
      </c>
      <c r="J34" s="18">
        <v>2883</v>
      </c>
      <c r="K34" s="18">
        <v>4805</v>
      </c>
    </row>
    <row r="36" spans="12:12">
      <c r="L36" s="18"/>
    </row>
    <row r="37" spans="12:12">
      <c r="L37" s="18"/>
    </row>
    <row r="38" spans="12:12">
      <c r="L38" s="18"/>
    </row>
    <row r="39" spans="12:12">
      <c r="L39" s="18"/>
    </row>
    <row r="40" spans="12:12">
      <c r="L40" s="18"/>
    </row>
    <row r="41" spans="12:12">
      <c r="L41" s="18"/>
    </row>
    <row r="42" spans="12:12">
      <c r="L42" s="18"/>
    </row>
    <row r="44" spans="1:1">
      <c r="A44" s="19" t="s">
        <v>38</v>
      </c>
    </row>
    <row r="45" spans="1:1">
      <c r="A45" s="17" t="s">
        <v>39</v>
      </c>
    </row>
    <row r="46" spans="1:11">
      <c r="A46" s="17" t="s">
        <v>40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">
      <c r="A47" s="17" t="s">
        <v>41</v>
      </c>
    </row>
    <row r="48" spans="1:11">
      <c r="A48" s="21" t="s">
        <v>42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>
      <c r="A49" s="21" t="s">
        <v>43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>
      <c r="A50" s="21" t="s">
        <v>44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">
      <c r="A51" s="17" t="s">
        <v>45</v>
      </c>
    </row>
    <row r="52" spans="1:11">
      <c r="A52" s="17" t="s">
        <v>46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>
      <c r="A53" s="17" t="s">
        <v>47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">
      <c r="A54" s="17" t="s">
        <v>48</v>
      </c>
    </row>
    <row r="55" spans="1:11">
      <c r="A55" s="17" t="s">
        <v>49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">
      <c r="A56" s="17" t="s">
        <v>50</v>
      </c>
    </row>
    <row r="57" spans="1:11">
      <c r="A57" s="17" t="s">
        <v>51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>
      <c r="A58" s="17" t="s">
        <v>52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</row>
  </sheetData>
  <mergeCells count="2">
    <mergeCell ref="A1:A2"/>
    <mergeCell ref="A12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 bird</dc:creator>
  <cp:lastModifiedBy>orangebird</cp:lastModifiedBy>
  <dcterms:created xsi:type="dcterms:W3CDTF">2023-05-12T11:15:00Z</dcterms:created>
  <dcterms:modified xsi:type="dcterms:W3CDTF">2023-11-24T04:28:48Z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